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ba9490b0d7e374e9/Desktop/Data Analytics/Budget-vs-Actual-Excel-Dashboard/"/>
    </mc:Choice>
  </mc:AlternateContent>
  <xr:revisionPtr revIDLastSave="659" documentId="8_{771A6E44-8291-494E-AD34-70541AAEBCA6}" xr6:coauthVersionLast="47" xr6:coauthVersionMax="47" xr10:uidLastSave="{03109378-2E53-4A65-A38C-7F66160E1081}"/>
  <bookViews>
    <workbookView xWindow="-108" yWindow="-108" windowWidth="23256" windowHeight="12456" activeTab="1" xr2:uid="{6212E37C-CC1C-48DA-AAB7-C682B63B4734}"/>
  </bookViews>
  <sheets>
    <sheet name="Question" sheetId="1" r:id="rId1"/>
    <sheet name="Charts" sheetId="4" r:id="rId2"/>
    <sheet name="Dashboard" sheetId="6" r:id="rId3"/>
    <sheet name="Department Detail" sheetId="8" r:id="rId4"/>
    <sheet name="Dataset" sheetId="2" r:id="rId5"/>
    <sheet name="KPIs" sheetId="3" r:id="rId6"/>
  </sheets>
  <definedNames>
    <definedName name="_xlchart.v1.0" hidden="1">Charts!$F$4:$F$6</definedName>
    <definedName name="_xlchart.v1.1" hidden="1">Charts!$G$3</definedName>
    <definedName name="_xlchart.v1.2" hidden="1">Charts!$G$4:$G$6</definedName>
    <definedName name="_xlchart.v1.3" hidden="1">Dataset!$A$2:$A$101</definedName>
    <definedName name="_xlchart.v1.4" hidden="1">Dataset!$F$1</definedName>
    <definedName name="_xlchart.v1.5" hidden="1">Dataset!$F$2:$F$101</definedName>
    <definedName name="_xlchart.v1.6" hidden="1">Dataset!$F$1</definedName>
    <definedName name="_xlchart.v1.7" hidden="1">Dataset!$F$2:$F$101</definedName>
    <definedName name="_xlnm.Print_Area" localSheetId="2">Dashboard!$A$1:$AB$56</definedName>
    <definedName name="Slicer___Variance">#N/A</definedName>
    <definedName name="Slicer_Department">#N/A</definedName>
    <definedName name="Slicer_Department1">#N/A</definedName>
    <definedName name="Slicer_Month">#N/A</definedName>
    <definedName name="Slicer_Month1">#N/A</definedName>
    <definedName name="Slicer_Performance_Category">#N/A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a="1"/>
  <c r="G2" i="2" s="1"/>
  <c r="I2" i="2"/>
  <c r="G3" i="2" a="1"/>
  <c r="G3" i="2" s="1"/>
  <c r="G4" i="2" a="1"/>
  <c r="G4" i="2" s="1"/>
  <c r="G5" i="2" a="1"/>
  <c r="G5" i="2" s="1"/>
  <c r="G6" i="2" a="1"/>
  <c r="G6" i="2" s="1"/>
  <c r="G7" i="2" a="1"/>
  <c r="G7" i="2" s="1"/>
  <c r="G8" i="2" a="1"/>
  <c r="G8" i="2" s="1"/>
  <c r="G9" i="2" a="1"/>
  <c r="G9" i="2" s="1"/>
  <c r="G10" i="2" a="1"/>
  <c r="G10" i="2"/>
  <c r="G11" i="2" a="1"/>
  <c r="G11" i="2"/>
  <c r="G12" i="2" a="1"/>
  <c r="G12" i="2" s="1"/>
  <c r="G13" i="2" a="1"/>
  <c r="G13" i="2" s="1"/>
  <c r="G14" i="2" a="1"/>
  <c r="G14" i="2" s="1"/>
  <c r="G15" i="2" a="1"/>
  <c r="G15" i="2" s="1"/>
  <c r="G16" i="2" a="1"/>
  <c r="G16" i="2"/>
  <c r="G17" i="2" a="1"/>
  <c r="G17" i="2" s="1"/>
  <c r="G18" i="2" a="1"/>
  <c r="G18" i="2" s="1"/>
  <c r="G19" i="2" a="1"/>
  <c r="G19" i="2" s="1"/>
  <c r="G20" i="2" a="1"/>
  <c r="G20" i="2" s="1"/>
  <c r="G21" i="2" a="1"/>
  <c r="G21" i="2" s="1"/>
  <c r="G22" i="2" a="1"/>
  <c r="G22" i="2" s="1"/>
  <c r="G23" i="2" a="1"/>
  <c r="G23" i="2" s="1"/>
  <c r="G24" i="2" a="1"/>
  <c r="G24" i="2" s="1"/>
  <c r="G25" i="2" a="1"/>
  <c r="G25" i="2" s="1"/>
  <c r="G26" i="2" a="1"/>
  <c r="G26" i="2"/>
  <c r="G27" i="2" a="1"/>
  <c r="G27" i="2" s="1"/>
  <c r="G28" i="2" a="1"/>
  <c r="G28" i="2" s="1"/>
  <c r="G29" i="2" a="1"/>
  <c r="G29" i="2"/>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c r="G48" i="2" a="1"/>
  <c r="G48" i="2" s="1"/>
  <c r="G49" i="2" a="1"/>
  <c r="G49" i="2" s="1"/>
  <c r="G50" i="2" a="1"/>
  <c r="G50" i="2" s="1"/>
  <c r="G51" i="2" a="1"/>
  <c r="G51" i="2" s="1"/>
  <c r="G52" i="2" a="1"/>
  <c r="G52" i="2" s="1"/>
  <c r="G53" i="2" a="1"/>
  <c r="G53" i="2" s="1"/>
  <c r="G54" i="2" a="1"/>
  <c r="G54" i="2" s="1"/>
  <c r="G55" i="2" a="1"/>
  <c r="G55" i="2" s="1"/>
  <c r="G56" i="2" a="1"/>
  <c r="G56" i="2"/>
  <c r="G57" i="2" a="1"/>
  <c r="G57" i="2" s="1"/>
  <c r="G58" i="2" a="1"/>
  <c r="G58" i="2"/>
  <c r="G59" i="2" a="1"/>
  <c r="G59" i="2"/>
  <c r="G60" i="2" a="1"/>
  <c r="G60" i="2" s="1"/>
  <c r="G61" i="2" a="1"/>
  <c r="G61" i="2" s="1"/>
  <c r="G62" i="2" a="1"/>
  <c r="G62" i="2" s="1"/>
  <c r="G63" i="2" a="1"/>
  <c r="G63" i="2" s="1"/>
  <c r="G64" i="2" a="1"/>
  <c r="G64" i="2" s="1"/>
  <c r="G65" i="2" a="1"/>
  <c r="G65" i="2"/>
  <c r="G66" i="2" a="1"/>
  <c r="G66" i="2" s="1"/>
  <c r="G67" i="2" a="1"/>
  <c r="G67" i="2" s="1"/>
  <c r="G68" i="2" a="1"/>
  <c r="G68" i="2" s="1"/>
  <c r="G69" i="2" a="1"/>
  <c r="G69" i="2" s="1"/>
  <c r="G70" i="2" a="1"/>
  <c r="G70" i="2" s="1"/>
  <c r="G71" i="2" a="1"/>
  <c r="G71" i="2" s="1"/>
  <c r="G72" i="2" a="1"/>
  <c r="G72" i="2" s="1"/>
  <c r="G73" i="2" a="1"/>
  <c r="G73" i="2" s="1"/>
  <c r="G74" i="2" a="1"/>
  <c r="G74" i="2"/>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c r="G87" i="2" a="1"/>
  <c r="G87" i="2" s="1"/>
  <c r="G88" i="2" a="1"/>
  <c r="G88" i="2" s="1"/>
  <c r="G89" i="2" a="1"/>
  <c r="G89" i="2"/>
  <c r="G90" i="2" a="1"/>
  <c r="G90" i="2" s="1"/>
  <c r="G91" i="2" a="1"/>
  <c r="G91" i="2" s="1"/>
  <c r="G92" i="2" a="1"/>
  <c r="G92" i="2"/>
  <c r="G93" i="2" a="1"/>
  <c r="G93" i="2" s="1"/>
  <c r="G94" i="2" a="1"/>
  <c r="G94" i="2" s="1"/>
  <c r="G95" i="2" a="1"/>
  <c r="G95" i="2" s="1"/>
  <c r="G96" i="2" a="1"/>
  <c r="G96" i="2" s="1"/>
  <c r="G97" i="2" a="1"/>
  <c r="G97" i="2" s="1"/>
  <c r="G98" i="2" a="1"/>
  <c r="G98" i="2"/>
  <c r="G99" i="2" a="1"/>
  <c r="G99" i="2" s="1"/>
  <c r="G100" i="2" a="1"/>
  <c r="G100" i="2" s="1"/>
  <c r="G101" i="2" a="1"/>
  <c r="G101" i="2" s="1"/>
  <c r="B1" i="3"/>
  <c r="B13" i="4"/>
  <c r="B6" i="3" s="1"/>
  <c r="C9" i="3"/>
  <c r="C8" i="3"/>
  <c r="B8" i="3"/>
  <c r="B7" i="3"/>
  <c r="B5" i="3"/>
  <c r="B2" i="3"/>
  <c r="B4" i="3" l="1"/>
  <c r="B3" i="3"/>
  <c r="B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<sst xmlns="http://schemas.openxmlformats.org/spreadsheetml/2006/main" count="377" uniqueCount="115">
  <si>
    <t>Financial Budget vs. Actual Analysis</t>
  </si>
  <si>
    <t>Objective: Compare budgeted vs. actual financials and generate variance reports.</t>
  </si>
  <si>
    <r>
      <rPr>
        <b/>
        <sz val="11"/>
        <color rgb="FF000000"/>
        <rFont val="Calibri"/>
      </rPr>
      <t xml:space="preserve">Dataset: </t>
    </r>
    <r>
      <rPr>
        <b/>
        <sz val="11"/>
        <color theme="1"/>
        <rFont val="Calibri"/>
      </rPr>
      <t>Department</t>
    </r>
    <r>
      <rPr>
        <b/>
        <sz val="11"/>
        <color rgb="FF000000"/>
        <rFont val="Calibri"/>
      </rPr>
      <t xml:space="preserve">, </t>
    </r>
    <r>
      <rPr>
        <b/>
        <sz val="11"/>
        <color theme="1"/>
        <rFont val="Calibri"/>
      </rPr>
      <t>Month</t>
    </r>
    <r>
      <rPr>
        <b/>
        <sz val="11"/>
        <color rgb="FF000000"/>
        <rFont val="Calibri"/>
      </rPr>
      <t xml:space="preserve">, </t>
    </r>
    <r>
      <rPr>
        <b/>
        <sz val="11"/>
        <color theme="1"/>
        <rFont val="Calibri"/>
      </rPr>
      <t>Budget</t>
    </r>
    <r>
      <rPr>
        <b/>
        <sz val="11"/>
        <color rgb="FF000000"/>
        <rFont val="Calibri"/>
      </rPr>
      <t xml:space="preserve">, </t>
    </r>
    <r>
      <rPr>
        <b/>
        <sz val="11"/>
        <color theme="1"/>
        <rFont val="Calibri"/>
      </rPr>
      <t>Actual</t>
    </r>
    <r>
      <rPr>
        <b/>
        <sz val="11"/>
        <color rgb="FF000000"/>
        <rFont val="Calibri"/>
      </rPr>
      <t xml:space="preserve">, </t>
    </r>
    <r>
      <rPr>
        <b/>
        <sz val="11"/>
        <color theme="1"/>
        <rFont val="Calibri"/>
      </rPr>
      <t>Variance</t>
    </r>
    <r>
      <rPr>
        <b/>
        <sz val="11"/>
        <color rgb="FF000000"/>
        <rFont val="Calibri"/>
      </rPr>
      <t xml:space="preserve">, </t>
    </r>
    <r>
      <rPr>
        <b/>
        <sz val="11"/>
        <color theme="1"/>
        <rFont val="Calibri"/>
      </rPr>
      <t>% Variance</t>
    </r>
    <r>
      <rPr>
        <b/>
        <sz val="11"/>
        <color rgb="FF000000"/>
        <rFont val="Calibri"/>
      </rPr>
      <t>.</t>
    </r>
  </si>
  <si>
    <t>Tasks:</t>
  </si>
  <si>
    <t>Financial Budget vs. Actual Analysis Dashboard</t>
  </si>
  <si>
    <t>Dashboard Components &amp; Tasks</t>
  </si>
  <si>
    <t>1. Executive Summary KPIs</t>
  </si>
  <si>
    <t>Task: Create a high-level KPI panel showing:</t>
  </si>
  <si>
    <t>Total Budget vs Total Actual YTD</t>
  </si>
  <si>
    <t>Overall Variance (Absolute and Percentage)</t>
  </si>
  <si>
    <t>Number of Departments within/over budget</t>
  </si>
  <si>
    <t>Largest Positive Variance (Favorable)</t>
  </si>
  <si>
    <t>Largest Negative Variance (Unfavorable)</t>
  </si>
  <si>
    <t>2. Budget vs Actual Variance Analysis</t>
  </si>
  <si>
    <t>Task: Build variance comparison charts</t>
  </si>
  <si>
    <t>Side-by-side bar charts (Budget vs Actual) by department</t>
  </si>
  <si>
    <t>Variance bars colored green (positive) and red (negative)</t>
  </si>
  <si>
    <t>Variance percentage labels on each bar</t>
  </si>
  <si>
    <t>Department-wise and month-wise breakdowns</t>
  </si>
  <si>
    <t>3. Waterfall Chart Implementation</t>
  </si>
  <si>
    <t>Task: Create waterfall charts showing budget-to-actual flow</t>
  </si>
  <si>
    <t>Starting point: Initial Budget</t>
  </si>
  <si>
    <t>Intermediate steps: Monthly adjustments/variations</t>
  </si>
  <si>
    <t>End point: Final Actual amount</t>
  </si>
  <si>
    <t>Color coding: Green for positive, red for negative changes</t>
  </si>
  <si>
    <t>4. Variance Trend Analysis</t>
  </si>
  <si>
    <t>Task: Develop time-based variance tracking</t>
  </si>
  <si>
    <t>Monthly variance trend line (% Variance over time)</t>
  </si>
  <si>
    <t>Budget vs Actual trend (Dual-line chart by month)</t>
  </si>
  <si>
    <t>Cumulative variance progression chart</t>
  </si>
  <si>
    <t>5. Department Performance Matrix</t>
  </si>
  <si>
    <t>Task: Create a performance overview table/matrix</t>
  </si>
  <si>
    <t>Department ranking by variance percentage</t>
  </si>
  <si>
    <t>Traffic light system (Green/Yellow/Red) for quick assessment</t>
  </si>
  <si>
    <t>Variance thresholds visualization</t>
  </si>
  <si>
    <t>Top/Bottom 5 departments by performance</t>
  </si>
  <si>
    <t>6. Interactive Financial Controls</t>
  </si>
  <si>
    <t>Task: Implement dynamic filtering options</t>
  </si>
  <si>
    <t>Department selector (multi-select dropdown)</t>
  </si>
  <si>
    <t>Time period filter (Monthly/Quarterly/YTD)</t>
  </si>
  <si>
    <t>Variance threshold slider (Filter by % variance)</t>
  </si>
  <si>
    <t>Performance category filter (Over/Under/Within Budget)</t>
  </si>
  <si>
    <t>7. Variance Distribution Analysis</t>
  </si>
  <si>
    <t>Task: Show statistical distribution of variances</t>
  </si>
  <si>
    <t>Histogram of variance percentages</t>
  </si>
  <si>
    <t>Box plot showing variance distribution across departments</t>
  </si>
  <si>
    <t>Standard deviation and average variance indicators</t>
  </si>
  <si>
    <t>8. Monthly Breakdown Dashboard</t>
  </si>
  <si>
    <t>Task: Create detailed monthly analysis</t>
  </si>
  <si>
    <t>Monthly budget utilization heatmap</t>
  </si>
  <si>
    <t>Rolling 12-month variance analysis</t>
  </si>
  <si>
    <t>Seasonal patterns in budget performance</t>
  </si>
  <si>
    <t>9. Department Drill-Down Capability</t>
  </si>
  <si>
    <t>Task: Enable detailed department-level analysis</t>
  </si>
  <si>
    <t>Click-through functionality from summary to detail</t>
  </si>
  <si>
    <t>Department-specific budget vs actual trends</t>
  </si>
  <si>
    <t>Monthly variance details for selected department</t>
  </si>
  <si>
    <t>10. Executive Financial Report Generator</t>
  </si>
  <si>
    <t>Task: Build automated reporting features</t>
  </si>
  <si>
    <t>One-click report generation with key insights</t>
  </si>
  <si>
    <t>Export functionality (PDF, Excel)</t>
  </si>
  <si>
    <t>Automated commentary based on variance analysis</t>
  </si>
  <si>
    <t>Technical Implementation</t>
  </si>
  <si>
    <t>Variance Calculation Formulas:</t>
  </si>
  <si>
    <t>Variance = Actual - Budget</t>
  </si>
  <si>
    <t>% Variance = ((Actual - Budget) / Budget) * 100</t>
  </si>
  <si>
    <t>Performance Categorization:</t>
  </si>
  <si>
    <t>Within Budget: -5% ≤ Variance ≤ +5%</t>
  </si>
  <si>
    <t>Slightly Over: -10% ≤ Variance &lt; -5%</t>
  </si>
  <si>
    <t>Significantly Over: Variance &lt; -10%</t>
  </si>
  <si>
    <t>Under Budget: Variance &gt; +5%</t>
  </si>
  <si>
    <t>Department</t>
  </si>
  <si>
    <t>Month</t>
  </si>
  <si>
    <t>Budget</t>
  </si>
  <si>
    <t>Actual</t>
  </si>
  <si>
    <t>Variance</t>
  </si>
  <si>
    <t>% Variance</t>
  </si>
  <si>
    <t>Sales</t>
  </si>
  <si>
    <t>June</t>
  </si>
  <si>
    <t>HR</t>
  </si>
  <si>
    <t>April</t>
  </si>
  <si>
    <t>IT</t>
  </si>
  <si>
    <t>Marketing</t>
  </si>
  <si>
    <t>February</t>
  </si>
  <si>
    <t>November</t>
  </si>
  <si>
    <t>January</t>
  </si>
  <si>
    <t>Finance</t>
  </si>
  <si>
    <t>December</t>
  </si>
  <si>
    <t>October</t>
  </si>
  <si>
    <t>August</t>
  </si>
  <si>
    <t>March</t>
  </si>
  <si>
    <t>July</t>
  </si>
  <si>
    <t>September</t>
  </si>
  <si>
    <t>May</t>
  </si>
  <si>
    <t>Total Budget</t>
  </si>
  <si>
    <t>Total Actual (YTD)</t>
  </si>
  <si>
    <t>Budget Utlization</t>
  </si>
  <si>
    <t>Sum of Budget</t>
  </si>
  <si>
    <t>Sum of Actual</t>
  </si>
  <si>
    <t>Variance %</t>
  </si>
  <si>
    <t>Overall Variance Absolute</t>
  </si>
  <si>
    <t>Departments Within Budget</t>
  </si>
  <si>
    <t>Average of % Variance</t>
  </si>
  <si>
    <t>Row Labels</t>
  </si>
  <si>
    <t>Grand Total</t>
  </si>
  <si>
    <t>Departments Over Budget</t>
  </si>
  <si>
    <t>Largest Positive Variance</t>
  </si>
  <si>
    <t>Largest Negative Variance</t>
  </si>
  <si>
    <t>Sum of Variances</t>
  </si>
  <si>
    <t>Item</t>
  </si>
  <si>
    <t>Value</t>
  </si>
  <si>
    <t>Performance Category</t>
  </si>
  <si>
    <t>Sum of Variance</t>
  </si>
  <si>
    <t>Dashboard!A1</t>
  </si>
  <si>
    <t>Seasonal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</si>
</sst>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0" x14ac:knownFonts="1">
    <font>
      <sz val="11"/>
      <color theme="1"/>
      <name val="Aptos Narrow"/>
      <family val="2"/>
      <scheme val="minor"/>
    </font>
    <font>
      <b/>
      <sz val="13"/>
      <color theme="1"/>
      <name val="Calibri"/>
    </font>
    <font>
      <sz val="11"/>
      <color theme="1"/>
      <name val="Calibri"/>
    </font>
    <font>
      <b/>
      <sz val="11"/>
      <color rgb="FF000000"/>
      <name val="Calibri"/>
    </font>
    <font>
      <b/>
      <sz val="11"/>
      <color theme="1"/>
      <name val="Calibri"/>
    </font>
    <font>
      <b/>
      <sz val="11"/>
      <color theme="1"/>
      <name val="Aptos Narrow"/>
      <scheme val="minor"/>
    </font>
    <font>
      <sz val="11"/>
      <color theme="1"/>
      <name val="Aptos Narrow"/>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3" tint="0.249977111117893"/>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bottom/>
      <diagonal/>
    </border>
  </borders>
  <cellStyleXfs count="3">
    <xf numFmtId="0" fontId="0" fillId="0" borderId="0"/>
    <xf numFmtId="9" fontId="7" fillId="0" borderId="0" applyFont="0" applyFill="0" applyBorder="0" applyAlignment="0" applyProtection="0"/>
    <xf numFmtId="0" fontId="9" fillId="0" borderId="0" applyNumberFormat="0" applyFill="0" applyBorder="0" applyAlignment="0" applyProtection="0"/>
  </cellStyleXfs>
  <cellXfs count="21">
    <xf numFmtId="0" fontId="0" fillId="0" borderId="0" xfId="0"/>
    <xf numFmtId="0" fontId="1" fillId="0" borderId="1" xfId="0" applyFont="1" applyBorder="1" applyAlignment="1">
      <alignment vertical="center"/>
    </xf>
    <xf numFmtId="0" fontId="2" fillId="0" borderId="1" xfId="0" applyFont="1" applyBorder="1" applyAlignment="1">
      <alignment wrapText="1"/>
    </xf>
    <xf numFmtId="0" fontId="3"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5" fillId="0" borderId="0" xfId="0" applyFont="1"/>
    <xf numFmtId="0" fontId="6" fillId="0" borderId="0" xfId="0" applyFont="1"/>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2" fillId="0" borderId="1" xfId="0" applyFont="1" applyBorder="1" applyAlignment="1">
      <alignment horizontal="right" wrapText="1"/>
    </xf>
    <xf numFmtId="0" fontId="4" fillId="0" borderId="4" xfId="0" applyFont="1" applyBorder="1" applyAlignment="1">
      <alignment horizontal="center" vertical="top" wrapText="1"/>
    </xf>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8" fillId="0" borderId="0" xfId="0" applyFont="1" applyAlignment="1">
      <alignment horizontal="center" vertical="center" wrapText="1"/>
    </xf>
    <xf numFmtId="0" fontId="0" fillId="0" borderId="0" xfId="0" applyAlignment="1">
      <alignment vertical="center" wrapText="1"/>
    </xf>
    <xf numFmtId="0" fontId="9" fillId="0" borderId="0" xfId="2"/>
    <xf numFmtId="0" fontId="8" fillId="0" borderId="0" xfId="0" applyFont="1"/>
  </cellXfs>
  <cellStyles count="3">
    <cellStyle name="Hyperlink" xfId="2" builtinId="8"/>
    <cellStyle name="Normal" xfId="0" builtinId="0"/>
    <cellStyle name="Percent" xfId="1" builtinId="5"/>
  </cellStyles>
  <dxfs count="1">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[DashboardProject3.xlsx]Charts!PivotTable3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Budget vs Actual Variance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Charts!$B$15</c:f>
              <c:strCache>
                <c:ptCount val="1"/>
                <c:pt idx="0">
                  <c:v>Sum of Actual</c:v>
                </c:pt>
              </c:strCache>
            </c:strRef>
          </c:tx>
          <c:spPr>
            <a:solidFill>
              <a:srgbClr val="FF0000"/>
            </a:solidFill>
            <a:ln>
              <a:noFill/>
            </a:ln>
            <a:effectLst/>
          </c:spPr>
          <c:invertIfNegative val="1"/>
          <c:cat>
            <c:strRef>
              <c:f>Charts!$A$16:$A$21</c:f>
              <c:strCache>
                <c:ptCount val="5"/>
                <c:pt idx="0">
                  <c:v>Finance</c:v>
                </c:pt>
                <c:pt idx="1">
                  <c:v>HR</c:v>
                </c:pt>
                <c:pt idx="2">
                  <c:v>IT</c:v>
                </c:pt>
                <c:pt idx="3">
                  <c:v>Marketing</c:v>
                </c:pt>
                <c:pt idx="4">
                  <c:v>Sales</c:v>
                </c:pt>
              </c:strCache>
            </c:strRef>
          </c:cat>
          <c:val>
            <c:numRef>
              <c:f>Charts!$B$16:$B$21</c:f>
              <c:numCache>
                <c:formatCode>General</c:formatCode>
                <c:ptCount val="5"/>
                <c:pt idx="0">
                  <c:v>469924.88322000002</c:v>
                </c:pt>
                <c:pt idx="1">
                  <c:v>579626.85630499991</c:v>
                </c:pt>
                <c:pt idx="2">
                  <c:v>715768.88606299995</c:v>
                </c:pt>
                <c:pt idx="3">
                  <c:v>720364.02011399996</c:v>
                </c:pt>
                <c:pt idx="4">
                  <c:v>534883.891695</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5B60-4C86-876C-8A5543AC7A8B}"/>
            </c:ext>
          </c:extLst>
        </c:ser>
        <c:ser>
          <c:idx val="1"/>
          <c:order val="1"/>
          <c:tx>
            <c:strRef>
              <c:f>Charts!$C$15</c:f>
              <c:strCache>
                <c:ptCount val="1"/>
                <c:pt idx="0">
                  <c:v>Sum of Budget</c:v>
                </c:pt>
              </c:strCache>
            </c:strRef>
          </c:tx>
          <c:spPr>
            <a:solidFill>
              <a:srgbClr val="00B050"/>
            </a:solidFill>
            <a:ln>
              <a:noFill/>
            </a:ln>
            <a:effectLst/>
          </c:spPr>
          <c:invertIfNegative val="1"/>
          <c:cat>
            <c:strRef>
              <c:f>Charts!$A$16:$A$21</c:f>
              <c:strCache>
                <c:ptCount val="5"/>
                <c:pt idx="0">
                  <c:v>Finance</c:v>
                </c:pt>
                <c:pt idx="1">
                  <c:v>HR</c:v>
                </c:pt>
                <c:pt idx="2">
                  <c:v>IT</c:v>
                </c:pt>
                <c:pt idx="3">
                  <c:v>Marketing</c:v>
                </c:pt>
                <c:pt idx="4">
                  <c:v>Sales</c:v>
                </c:pt>
              </c:strCache>
            </c:strRef>
          </c:cat>
          <c:val>
            <c:numRef>
              <c:f>Charts!$C$16:$C$21</c:f>
              <c:numCache>
                <c:formatCode>General</c:formatCode>
                <c:ptCount val="5"/>
                <c:pt idx="0">
                  <c:v>476863.21000000008</c:v>
                </c:pt>
                <c:pt idx="1">
                  <c:v>599259.40999999992</c:v>
                </c:pt>
                <c:pt idx="2">
                  <c:v>715419.45</c:v>
                </c:pt>
                <c:pt idx="3">
                  <c:v>725453.53999999992</c:v>
                </c:pt>
                <c:pt idx="4">
                  <c:v>563844.25</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1-5B60-4C86-876C-8A5543AC7A8B}"/>
            </c:ext>
          </c:extLst>
        </c:ser>
        <c:ser>
          <c:idx val="2"/>
          <c:order val="2"/>
          <c:tx>
            <c:strRef>
              <c:f>Charts!$D$15</c:f>
              <c:strCache>
                <c:ptCount val="1"/>
                <c:pt idx="0">
                  <c:v>Sum of Variances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Charts!$A$16:$A$21</c:f>
              <c:strCache>
                <c:ptCount val="5"/>
                <c:pt idx="0">
                  <c:v>Finance</c:v>
                </c:pt>
                <c:pt idx="1">
                  <c:v>HR</c:v>
                </c:pt>
                <c:pt idx="2">
                  <c:v>IT</c:v>
                </c:pt>
                <c:pt idx="3">
                  <c:v>Marketing</c:v>
                </c:pt>
                <c:pt idx="4">
                  <c:v>Sales</c:v>
                </c:pt>
              </c:strCache>
            </c:strRef>
          </c:cat>
          <c:val>
            <c:numRef>
              <c:f>Charts!$D$16:$D$21</c:f>
              <c:numCache>
                <c:formatCode>General</c:formatCode>
                <c:ptCount val="5"/>
                <c:pt idx="0">
                  <c:v>-6938.3267800000613</c:v>
                </c:pt>
                <c:pt idx="1">
                  <c:v>-19632.55369500001</c:v>
                </c:pt>
                <c:pt idx="2">
                  <c:v>349.43606300000101</c:v>
                </c:pt>
                <c:pt idx="3">
                  <c:v>-5089.5198859999655</c:v>
                </c:pt>
                <c:pt idx="4">
                  <c:v>-28960.358305000002</c:v>
                </c:pt>
              </c:numCache>
            </c:numRef>
          </c:val>
          <c:extLst>
            <c:ext xmlns:c16="http://schemas.microsoft.com/office/drawing/2014/chart" uri="{C3380CC4-5D6E-409C-BE32-E72D297353CC}">
              <c16:uniqueId val="{00000002-5B60-4C86-876C-8A5543AC7A8B}"/>
            </c:ext>
          </c:extLst>
        </c:ser>
        <c:dLbls>
          <c:showLegendKey val="0"/>
          <c:showVal val="0"/>
          <c:showCatName val="0"/>
          <c:showSerName val="0"/>
          <c:showPercent val="0"/>
          <c:showBubbleSize val="0"/>
        </c:dLbls>
        <c:gapWidth val="100"/>
        <c:overlap val="-24"/>
        <c:axId val="749184704"/>
        <c:axId val="749186144"/>
      </c:barChart>
      <c:catAx>
        <c:axId val="7491847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49186144"/>
        <c:crosses val="autoZero"/>
        <c:auto val="1"/>
        <c:lblAlgn val="ctr"/>
        <c:lblOffset val="100"/>
        <c:noMultiLvlLbl val="0"/>
      </c:catAx>
      <c:valAx>
        <c:axId val="7491861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49184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rgbClr val="00B050"/>
      </a:fgClr>
      <a:bgClr>
        <a:schemeClr val="bg1"/>
      </a:bgClr>
    </a:patt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[DashboardProject3.xlsx]Charts!PivotTable6</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Trend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Charts!$C$26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Charts!$B$27:$B$39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Charts!$C$27:$C$39</c:f>
              <c:numCache>
                <c:formatCode>General</c:formatCode>
                <c:ptCount val="12"/>
                <c:pt idx="0">
                  <c:v>-3.992</c:v>
                </c:pt>
                <c:pt idx="1">
                  <c:v>-3.3311111111111109</c:v>
                </c:pt>
                <c:pt idx="2">
                  <c:v>-14.991111111111113</c:v>
                </c:pt>
                <c:pt idx="3">
                  <c:v>7.3758333333333352</c:v>
                </c:pt>
                <c:pt idx="4">
                  <c:v>3.3820000000000001</c:v>
                </c:pt>
                <c:pt idx="5">
                  <c:v>6.6137500000000005</c:v>
                </c:pt>
                <c:pt idx="6">
                  <c:v>-2.6083333333333325</c:v>
                </c:pt>
                <c:pt idx="7">
                  <c:v>0.73333333333333339</c:v>
                </c:pt>
                <c:pt idx="8">
                  <c:v>-26.524000000000001</c:v>
                </c:pt>
                <c:pt idx="9">
                  <c:v>0.23666666666666636</c:v>
                </c:pt>
                <c:pt idx="10">
                  <c:v>-3.2508333333333326</c:v>
                </c:pt>
                <c:pt idx="11">
                  <c:v>2.9816666666666678</c:v>
                </c:pt>
              </c:numCache>
            </c:numRef>
          </c:val>
          <c:smooth val="0"/>
          <c:extLst>
            <c:ext xmlns:c16="http://schemas.microsoft.com/office/drawing/2014/chart" uri="{C3380CC4-5D6E-409C-BE32-E72D297353CC}">
              <c16:uniqueId val="{00000000-9C80-45A2-BD41-153D41F731AB}"/>
            </c:ext>
          </c:extLst>
        </c:ser>
        <c:dLbls>
          <c:dLblPos val="t"/>
          <c:showLegendKey val="0"/>
          <c:showVal val="1"/>
          <c:showCatName val="0"/>
          <c:showSerName val="0"/>
          <c:showPercent val="0"/>
          <c:showBubbleSize val="0"/>
        </c:dLbls>
        <c:marker val="1"/>
        <c:smooth val="0"/>
        <c:axId val="1231615216"/>
        <c:axId val="1231648336"/>
      </c:lineChart>
      <c:catAx>
        <c:axId val="1231615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648336"/>
        <c:crosses val="autoZero"/>
        <c:auto val="1"/>
        <c:lblAlgn val="ctr"/>
        <c:lblOffset val="100"/>
        <c:noMultiLvlLbl val="0"/>
      </c:catAx>
      <c:valAx>
        <c:axId val="123164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615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[DashboardProject3.xlsx]Department Detail!PivotTable10</c:name>
    <c:fmtId val="0"/>
  </c:pivotSource>
  <c:chart>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'Department Detail'!$B$1</c:f>
              <c:strCache>
                <c:ptCount val="1"/>
                <c:pt idx="0">
                  <c:v>Sum of Budget</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'Department Detail'!$A$2:$A$14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'Department Detail'!$B$2:$B$14</c:f>
              <c:numCache>
                <c:formatCode>"₹"\ #,##0.00</c:formatCode>
                <c:ptCount val="12"/>
                <c:pt idx="0">
                  <c:v>309801.51999999996</c:v>
                </c:pt>
                <c:pt idx="1">
                  <c:v>272160.36</c:v>
                </c:pt>
                <c:pt idx="2">
                  <c:v>295081.42</c:v>
                </c:pt>
                <c:pt idx="3">
                  <c:v>324507.43</c:v>
                </c:pt>
                <c:pt idx="4">
                  <c:v>152348.97999999998</c:v>
                </c:pt>
                <c:pt idx="5">
                  <c:v>258878.8</c:v>
                </c:pt>
                <c:pt idx="6">
                  <c:v>130667.15</c:v>
                </c:pt>
                <c:pt idx="7">
                  <c:v>186231.11</c:v>
                </c:pt>
                <c:pt idx="8">
                  <c:v>159652</c:v>
                </c:pt>
                <c:pt idx="9">
                  <c:v>238500.24999999997</c:v>
                </c:pt>
                <c:pt idx="10">
                  <c:v>389551.4</c:v>
                </c:pt>
                <c:pt idx="11">
                  <c:v>363459.44</c:v>
                </c:pt>
              </c:numCache>
            </c:numRef>
          </c:val>
          <c:smooth val="0"/>
          <c:extLst>
            <c:ext xmlns:c16="http://schemas.microsoft.com/office/drawing/2014/chart" uri="{C3380CC4-5D6E-409C-BE32-E72D297353CC}">
              <c16:uniqueId val="{00000000-3DE4-43D0-94AA-71B9FE7D28B8}"/>
            </c:ext>
          </c:extLst>
        </c:ser>
        <c:ser>
          <c:idx val="1"/>
          <c:order val="1"/>
          <c:tx>
            <c:strRef>
              <c:f>'Department Detail'!$C$1</c:f>
              <c:strCache>
                <c:ptCount val="1"/>
                <c:pt idx="0">
                  <c:v>Sum of Actual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'Department Detail'!$A$2:$A$14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'Department Detail'!$C$2:$C$14</c:f>
              <c:numCache>
                <c:formatCode>"₹"\ #,##0.00</c:formatCode>
                <c:ptCount val="12"/>
                <c:pt idx="0">
                  <c:v>299902.86156600004</c:v>
                </c:pt>
                <c:pt idx="1">
                  <c:v>262344.68188000005</c:v>
                </c:pt>
                <c:pt idx="2">
                  <c:v>265819.911723</c:v>
                </c:pt>
                <c:pt idx="3">
                  <c:v>331299.47276000003</c:v>
                </c:pt>
                <c:pt idx="4">
                  <c:v>159247.74502</c:v>
                </c:pt>
                <c:pt idx="5">
                  <c:v>269450.02023999998</c:v>
                </c:pt>
                <c:pt idx="6">
                  <c:v>134780.751835</c:v>
                </c:pt>
                <c:pt idx="7">
                  <c:v>182628.99625999999</c:v>
                </c:pt>
                <c:pt idx="8">
                  <c:v>131819.116625</c:v>
                </c:pt>
                <c:pt idx="9">
                  <c:v>239830.86851</c:v>
                </c:pt>
                <c:pt idx="10">
                  <c:v>375244.26088000002</c:v>
                </c:pt>
                <c:pt idx="11">
                  <c:v>368199.85009800002</c:v>
                </c:pt>
              </c:numCache>
            </c:numRef>
          </c:val>
          <c:smooth val="0"/>
          <c:extLst>
            <c:ext xmlns:c16="http://schemas.microsoft.com/office/drawing/2014/chart" uri="{C3380CC4-5D6E-409C-BE32-E72D297353CC}">
              <c16:uniqueId val="{00000001-3DE4-43D0-94AA-71B9FE7D28B8}"/>
            </c:ext>
          </c:extLst>
        </c:ser>
        <c:ser>
          <c:idx val="2"/>
          <c:order val="2"/>
          <c:tx>
            <c:strRef>
              <c:f>'Department Detail'!$D$1</c:f>
              <c:strCache>
                <c:ptCount val="1"/>
                <c:pt idx="0">
                  <c:v>Sum of Variance</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'Department Detail'!$A$2:$A$14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'Department Detail'!$D$2:$D$14</c:f>
              <c:numCache>
                <c:formatCode>General</c:formatCode>
                <c:ptCount val="12"/>
                <c:pt idx="0">
                  <c:v>-9898.6584320000002</c:v>
                </c:pt>
                <c:pt idx="1">
                  <c:v>-9815.6781169999995</c:v>
                </c:pt>
                <c:pt idx="2">
                  <c:v>-29261.508288199999</c:v>
                </c:pt>
                <c:pt idx="3">
                  <c:v>6792.0427379999965</c:v>
                </c:pt>
                <c:pt idx="4">
                  <c:v>6898.7650160000003</c:v>
                </c:pt>
                <c:pt idx="5">
                  <c:v>10571.220238</c:v>
                </c:pt>
                <c:pt idx="6">
                  <c:v>4113.6018309999999</c:v>
                </c:pt>
                <c:pt idx="7">
                  <c:v>-3602.1137288999989</c:v>
                </c:pt>
                <c:pt idx="8">
                  <c:v>-27832.883377999999</c:v>
                </c:pt>
                <c:pt idx="9">
                  <c:v>1330.6185190000015</c:v>
                </c:pt>
                <c:pt idx="10">
                  <c:v>-14307.139112299999</c:v>
                </c:pt>
                <c:pt idx="11">
                  <c:v>4740.4100938999973</c:v>
                </c:pt>
              </c:numCache>
            </c:numRef>
          </c:val>
          <c:smooth val="0"/>
          <c:extLst>
            <c:ext xmlns:c16="http://schemas.microsoft.com/office/drawing/2014/chart" uri="{C3380CC4-5D6E-409C-BE32-E72D297353CC}">
              <c16:uniqueId val="{00000002-3DE4-43D0-94AA-71B9FE7D28B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55437632"/>
        <c:axId val="1155436672"/>
      </c:lineChart>
      <c:catAx>
        <c:axId val="115543763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5436672"/>
        <c:crosses val="autoZero"/>
        <c:auto val="1"/>
        <c:lblAlgn val="ctr"/>
        <c:lblOffset val="100"/>
        <c:noMultiLvlLbl val="0"/>
      </c:catAx>
      <c:valAx>
        <c:axId val="115543667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5543763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Budget to Actual Flow</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Budget to Actual Flow</a:t>
          </a:r>
        </a:p>
      </cx:txPr>
    </cx:title>
    <cx:plotArea>
      <cx:plotAreaRegion>
        <cx:series layoutId="waterfall" uniqueId="{00000000-224C-431D-A2DC-C43606790D97}">
          <cx:tx>
            <cx:txData>
              <cx:f>_xlchart.v1.1</cx:f>
              <cx:v>Value</cx:v>
            </cx:txData>
          </cx:tx>
          <cx:dataLabels pos="in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IN"/>
              <a:t>Histogram of Variance Percentages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84B0-4F00-AA98-1D41ED7AE4AC}">
          <cx:tx>
            <cx:txData>
              <cx:f>_xlchart.v1.6</cx:f>
              <cx:v>% Variance</cx:v>
            </cx:txData>
          </cx:tx>
          <cx:dataLabels>
            <cx:visibility seriesName="0" categoryName="0" value="1"/>
          </cx:dataLabels>
          <cx:dataId val="0"/>
          <cx:layoutPr>
            <cx:binning intervalClosed="r"/>
          </cx:layoutPr>
        </cx:series>
      </cx:plotAreaRegion>
      <cx:axis id="0">
        <cx:catScaling gapWidth="0"/>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Box Plot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Box Plot</a:t>
          </a:r>
        </a:p>
      </cx:txPr>
    </cx:title>
    <cx:plotArea>
      <cx:plotAreaRegion>
        <cx:series layoutId="boxWhisker" uniqueId="{00000000-CC03-4E51-98FF-43CDB6085791}">
          <cx:tx>
            <cx:txData>
              <cx:f>_xlchart.v1.4</cx:f>
              <cx:v>% Variance</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6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hyperlink" Target="#'Department Detail'!A1"/><Relationship Id="rId5" Type="http://schemas.microsoft.com/office/2014/relationships/chartEx" Target="../charts/chartEx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350520</xdr:colOff>
      <xdr:row>1</xdr:row>
      <xdr:rowOff>144780</xdr:rowOff>
    </xdr:from>
    <xdr:to>
      <xdr:col>15</xdr:col>
      <xdr:colOff>510540</xdr:colOff>
      <xdr:row>3</xdr:row>
      <xdr:rowOff>167640</xdr:rowOff>
    </xdr:to>
    <xdr:sp macro="" textlink="">
      <xdr:nvSpPr>
        <xdr:cNvPr id="5" name="Arrow: Chevron 4">
          <a:extLst>
            <a:ext uri="{FF2B5EF4-FFF2-40B4-BE49-F238E27FC236}">
              <a16:creationId xmlns:a16="http://schemas.microsoft.com/office/drawing/2014/main" id="{04B1D65F-F2C2-DF8A-42F5-194DCEB03FBB}"/>
            </a:ext>
          </a:extLst>
        </xdr:cNvPr>
        <xdr:cNvSpPr/>
      </xdr:nvSpPr>
      <xdr:spPr>
        <a:xfrm>
          <a:off x="4008120" y="327660"/>
          <a:ext cx="5646420" cy="388620"/>
        </a:xfrm>
        <a:prstGeom prst="chevron">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800" b="1" i="0" u="none" strike="noStrike">
              <a:solidFill>
                <a:schemeClr val="tx1"/>
              </a:solidFill>
              <a:effectLst/>
              <a:latin typeface="Algerian" panose="04020705040A02060702" pitchFamily="82" charset="0"/>
              <a:ea typeface="+mn-ea"/>
              <a:cs typeface="+mn-cs"/>
            </a:rPr>
            <a:t>Financial Budget vs. Actual Analysis</a:t>
          </a:r>
          <a:r>
            <a:rPr lang="en-IN">
              <a:effectLst/>
              <a:latin typeface="Algerian" panose="04020705040A02060702" pitchFamily="82" charset="0"/>
            </a:rPr>
            <a:t> </a:t>
          </a:r>
          <a:r>
            <a:rPr lang="en-IN" sz="1100" b="0" i="0" u="none" strike="noStrike">
              <a:solidFill>
                <a:schemeClr val="lt1"/>
              </a:solidFill>
              <a:effectLst/>
              <a:latin typeface="Algerian" panose="04020705040A02060702" pitchFamily="82" charset="0"/>
              <a:ea typeface="+mn-ea"/>
              <a:cs typeface="+mn-cs"/>
            </a:rPr>
            <a:t> </a:t>
          </a:r>
          <a:r>
            <a:rPr lang="en-IN">
              <a:effectLst/>
              <a:latin typeface="Algerian" panose="04020705040A02060702" pitchFamily="82" charset="0"/>
            </a:rPr>
            <a:t> </a:t>
          </a:r>
          <a:r>
            <a:rPr lang="en-IN" sz="1100" b="0" i="0" u="none" strike="noStrike">
              <a:solidFill>
                <a:schemeClr val="lt1"/>
              </a:solidFill>
              <a:effectLst/>
              <a:latin typeface="Algerian" panose="04020705040A02060702" pitchFamily="82" charset="0"/>
              <a:ea typeface="+mn-ea"/>
              <a:cs typeface="+mn-cs"/>
            </a:rPr>
            <a:t> </a:t>
          </a:r>
          <a:r>
            <a:rPr lang="en-IN">
              <a:effectLst/>
              <a:latin typeface="Algerian" panose="04020705040A02060702" pitchFamily="82" charset="0"/>
            </a:rPr>
            <a:t> </a:t>
          </a:r>
          <a:r>
            <a:rPr lang="en-IN" sz="1100" b="0" i="0" u="none" strike="noStrike">
              <a:solidFill>
                <a:schemeClr val="lt1"/>
              </a:solidFill>
              <a:effectLst/>
              <a:latin typeface="Algerian" panose="04020705040A02060702" pitchFamily="82" charset="0"/>
              <a:ea typeface="+mn-ea"/>
              <a:cs typeface="+mn-cs"/>
            </a:rPr>
            <a:t> </a:t>
          </a:r>
          <a:r>
            <a:rPr lang="en-IN">
              <a:effectLst/>
              <a:latin typeface="Algerian" panose="04020705040A02060702" pitchFamily="82" charset="0"/>
            </a:rPr>
            <a:t> </a:t>
          </a:r>
          <a:r>
            <a:rPr lang="en-IN" sz="1100" b="0" i="0" u="none" strike="noStrike">
              <a:solidFill>
                <a:schemeClr val="lt1"/>
              </a:solidFill>
              <a:effectLst/>
              <a:latin typeface="Algerian" panose="04020705040A02060702" pitchFamily="82" charset="0"/>
              <a:ea typeface="+mn-ea"/>
              <a:cs typeface="+mn-cs"/>
            </a:rPr>
            <a:t> </a:t>
          </a:r>
          <a:r>
            <a:rPr lang="en-IN">
              <a:effectLst/>
              <a:latin typeface="Algerian" panose="04020705040A02060702" pitchFamily="82" charset="0"/>
            </a:rPr>
            <a:t> </a:t>
          </a:r>
          <a:endParaRPr lang="en-IN" sz="1100">
            <a:solidFill>
              <a:schemeClr val="tx1"/>
            </a:solidFill>
            <a:latin typeface="Algerian" panose="04020705040A02060702" pitchFamily="82" charset="0"/>
          </a:endParaRPr>
        </a:p>
      </xdr:txBody>
    </xdr:sp>
    <xdr:clientData/>
  </xdr:twoCellAnchor>
  <xdr:twoCellAnchor>
    <xdr:from>
      <xdr:col>0</xdr:col>
      <xdr:colOff>251460</xdr:colOff>
      <xdr:row>6</xdr:row>
      <xdr:rowOff>7620</xdr:rowOff>
    </xdr:from>
    <xdr:to>
      <xdr:col>4</xdr:col>
      <xdr:colOff>220980</xdr:colOff>
      <xdr:row>10</xdr:row>
      <xdr:rowOff>22860</xdr:rowOff>
    </xdr:to>
    <xdr:sp macro="" textlink="">
      <xdr:nvSpPr>
        <xdr:cNvPr id="6" name="Hexagon 5">
          <a:extLst>
            <a:ext uri="{FF2B5EF4-FFF2-40B4-BE49-F238E27FC236}">
              <a16:creationId xmlns:a16="http://schemas.microsoft.com/office/drawing/2014/main" id="{8C5BB5EA-0569-6185-C4C0-BBE00A76C2DD}"/>
            </a:ext>
          </a:extLst>
        </xdr:cNvPr>
        <xdr:cNvSpPr/>
      </xdr:nvSpPr>
      <xdr:spPr>
        <a:xfrm>
          <a:off x="251460" y="110490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tx1"/>
              </a:solidFill>
              <a:effectLst/>
              <a:latin typeface="Bell MT" panose="02020503060305020303" pitchFamily="18" charset="0"/>
              <a:ea typeface="+mn-ea"/>
              <a:cs typeface="+mn-cs"/>
            </a:rPr>
            <a:t>Total Budget</a:t>
          </a:r>
          <a:r>
            <a:rPr lang="en-IN" sz="1400" b="1">
              <a:solidFill>
                <a:schemeClr val="tx1"/>
              </a:solidFill>
              <a:effectLst/>
              <a:latin typeface="Bell MT" panose="02020503060305020303" pitchFamily="18" charset="0"/>
            </a:rPr>
            <a:t>  : </a:t>
          </a:r>
          <a:endParaRPr lang="en-IN" sz="1100" b="0" i="0" u="none" strike="noStrike">
            <a:solidFill>
              <a:schemeClr val="dk1"/>
            </a:solidFill>
            <a:effectLst/>
            <a:latin typeface="+mn-lt"/>
            <a:ea typeface="+mn-ea"/>
            <a:cs typeface="+mn-cs"/>
          </a:endParaRPr>
        </a:p>
        <a:p>
          <a:pPr lvl="0" algn="ctr"/>
          <a:r>
            <a:rPr lang="en-IN" sz="1400" b="1" i="0" u="none" strike="noStrike">
              <a:solidFill>
                <a:schemeClr val="tx1"/>
              </a:solidFill>
              <a:effectLst/>
              <a:latin typeface="Bell MT" panose="02020503060305020303" pitchFamily="18" charset="0"/>
              <a:ea typeface="+mn-ea"/>
              <a:cs typeface="+mn-cs"/>
            </a:rPr>
            <a:t>₹ 30,80,839.86</a:t>
          </a:r>
          <a:r>
            <a:rPr lang="en-IN" sz="1400" b="1">
              <a:solidFill>
                <a:schemeClr val="tx1"/>
              </a:solidFill>
              <a:effectLst/>
              <a:latin typeface="Bell MT" panose="02020503060305020303" pitchFamily="18" charset="0"/>
            </a:rPr>
            <a:t> </a:t>
          </a:r>
          <a:endParaRPr lang="en-IN" sz="1400" b="1">
            <a:solidFill>
              <a:schemeClr val="tx1"/>
            </a:solidFill>
            <a:latin typeface="Bell MT" panose="02020503060305020303" pitchFamily="18" charset="0"/>
          </a:endParaRPr>
        </a:p>
      </xdr:txBody>
    </xdr:sp>
    <xdr:clientData/>
  </xdr:twoCellAnchor>
  <xdr:twoCellAnchor>
    <xdr:from>
      <xdr:col>9</xdr:col>
      <xdr:colOff>213360</xdr:colOff>
      <xdr:row>5</xdr:row>
      <xdr:rowOff>137160</xdr:rowOff>
    </xdr:from>
    <xdr:to>
      <xdr:col>13</xdr:col>
      <xdr:colOff>182880</xdr:colOff>
      <xdr:row>9</xdr:row>
      <xdr:rowOff>152400</xdr:rowOff>
    </xdr:to>
    <xdr:sp macro="" textlink="">
      <xdr:nvSpPr>
        <xdr:cNvPr id="17" name="Hexagon 16">
          <a:extLst>
            <a:ext uri="{FF2B5EF4-FFF2-40B4-BE49-F238E27FC236}">
              <a16:creationId xmlns:a16="http://schemas.microsoft.com/office/drawing/2014/main" id="{5BB3BB66-8882-456C-A438-17E720C75FE9}"/>
            </a:ext>
          </a:extLst>
        </xdr:cNvPr>
        <xdr:cNvSpPr/>
      </xdr:nvSpPr>
      <xdr:spPr>
        <a:xfrm>
          <a:off x="5699760" y="105156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Budget Utlization</a:t>
          </a:r>
          <a:r>
            <a:rPr lang="en-IN" sz="1400" b="1">
              <a:effectLst/>
              <a:latin typeface="Bell MT" panose="02020503060305020303" pitchFamily="18" charset="0"/>
            </a:rPr>
            <a:t>  :</a:t>
          </a:r>
          <a:r>
            <a:rPr lang="en-IN" sz="1400" b="1" i="0" u="none" strike="noStrike">
              <a:solidFill>
                <a:schemeClr val="dk1"/>
              </a:solidFill>
              <a:effectLst/>
              <a:latin typeface="+mn-lt"/>
              <a:ea typeface="+mn-ea"/>
              <a:cs typeface="+mn-cs"/>
            </a:rPr>
            <a:t>₹ </a:t>
          </a:r>
          <a:r>
            <a:rPr lang="en-IN" sz="1400" b="1" baseline="0">
              <a:effectLst/>
              <a:latin typeface="Bell MT" panose="02020503060305020303" pitchFamily="18" charset="0"/>
            </a:rPr>
            <a:t> </a:t>
          </a:r>
          <a:r>
            <a:rPr lang="en-IN" sz="1400" b="1" i="0" u="none" strike="noStrike">
              <a:solidFill>
                <a:schemeClr val="dk1"/>
              </a:solidFill>
              <a:effectLst/>
              <a:latin typeface="+mn-lt"/>
              <a:ea typeface="+mn-ea"/>
              <a:cs typeface="+mn-cs"/>
            </a:rPr>
            <a:t>₹ 98.04</a:t>
          </a:r>
          <a:r>
            <a:rPr lang="en-IN" sz="1400" b="1">
              <a:effectLst/>
            </a:rPr>
            <a:t> </a:t>
          </a:r>
          <a:endParaRPr lang="en-IN" sz="1400" b="1">
            <a:solidFill>
              <a:schemeClr val="tx1"/>
            </a:solidFill>
            <a:latin typeface="Bell MT" panose="02020503060305020303" pitchFamily="18" charset="0"/>
          </a:endParaRPr>
        </a:p>
      </xdr:txBody>
    </xdr:sp>
    <xdr:clientData/>
  </xdr:twoCellAnchor>
  <xdr:twoCellAnchor>
    <xdr:from>
      <xdr:col>16</xdr:col>
      <xdr:colOff>274320</xdr:colOff>
      <xdr:row>12</xdr:row>
      <xdr:rowOff>83820</xdr:rowOff>
    </xdr:from>
    <xdr:to>
      <xdr:col>20</xdr:col>
      <xdr:colOff>601980</xdr:colOff>
      <xdr:row>16</xdr:row>
      <xdr:rowOff>114300</xdr:rowOff>
    </xdr:to>
    <xdr:sp macro="" textlink="">
      <xdr:nvSpPr>
        <xdr:cNvPr id="18" name="Hexagon 17">
          <a:extLst>
            <a:ext uri="{FF2B5EF4-FFF2-40B4-BE49-F238E27FC236}">
              <a16:creationId xmlns:a16="http://schemas.microsoft.com/office/drawing/2014/main" id="{F115AB01-A86E-4ED9-9FCD-56FA28788407}"/>
            </a:ext>
          </a:extLst>
        </xdr:cNvPr>
        <xdr:cNvSpPr/>
      </xdr:nvSpPr>
      <xdr:spPr>
        <a:xfrm>
          <a:off x="10027920" y="2278380"/>
          <a:ext cx="2766060" cy="76200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Largest Negative Variance</a:t>
          </a:r>
          <a:r>
            <a:rPr lang="en-IN" sz="1400" b="1">
              <a:effectLst/>
              <a:latin typeface="Bell MT" panose="02020503060305020303" pitchFamily="18" charset="0"/>
            </a:rPr>
            <a:t> : </a:t>
          </a:r>
          <a:r>
            <a:rPr lang="en-IN" sz="1400" b="1" i="0" u="none" strike="noStrike">
              <a:solidFill>
                <a:schemeClr val="dk1"/>
              </a:solidFill>
              <a:effectLst/>
              <a:latin typeface="Bell MT" panose="02020503060305020303" pitchFamily="18" charset="0"/>
              <a:ea typeface="+mn-ea"/>
              <a:cs typeface="+mn-cs"/>
            </a:rPr>
            <a:t>-4.306111111</a:t>
          </a:r>
          <a:r>
            <a:rPr lang="en-IN" sz="1400" b="1">
              <a:effectLst/>
              <a:latin typeface="Bell MT" panose="02020503060305020303" pitchFamily="18" charset="0"/>
            </a:rPr>
            <a:t> </a:t>
          </a:r>
          <a:endParaRPr lang="en-IN" sz="1400" b="1">
            <a:solidFill>
              <a:schemeClr val="tx1"/>
            </a:solidFill>
            <a:latin typeface="Bell MT" panose="02020503060305020303" pitchFamily="18" charset="0"/>
          </a:endParaRPr>
        </a:p>
      </xdr:txBody>
    </xdr:sp>
    <xdr:clientData/>
  </xdr:twoCellAnchor>
  <xdr:twoCellAnchor>
    <xdr:from>
      <xdr:col>18</xdr:col>
      <xdr:colOff>358140</xdr:colOff>
      <xdr:row>5</xdr:row>
      <xdr:rowOff>160020</xdr:rowOff>
    </xdr:from>
    <xdr:to>
      <xdr:col>22</xdr:col>
      <xdr:colOff>327660</xdr:colOff>
      <xdr:row>9</xdr:row>
      <xdr:rowOff>175260</xdr:rowOff>
    </xdr:to>
    <xdr:sp macro="" textlink="">
      <xdr:nvSpPr>
        <xdr:cNvPr id="19" name="Hexagon 18">
          <a:extLst>
            <a:ext uri="{FF2B5EF4-FFF2-40B4-BE49-F238E27FC236}">
              <a16:creationId xmlns:a16="http://schemas.microsoft.com/office/drawing/2014/main" id="{82F98002-B9F1-4ACF-A8D1-20BE805C308B}"/>
            </a:ext>
          </a:extLst>
        </xdr:cNvPr>
        <xdr:cNvSpPr/>
      </xdr:nvSpPr>
      <xdr:spPr>
        <a:xfrm>
          <a:off x="11330940" y="107442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Overall Variance Absolute</a:t>
          </a:r>
          <a:r>
            <a:rPr lang="en-IN" sz="1400" b="1" i="0" u="none" strike="noStrike" baseline="0">
              <a:solidFill>
                <a:schemeClr val="dk1"/>
              </a:solidFill>
              <a:effectLst/>
              <a:latin typeface="Bell MT" panose="02020503060305020303" pitchFamily="18" charset="0"/>
              <a:ea typeface="+mn-ea"/>
              <a:cs typeface="+mn-cs"/>
            </a:rPr>
            <a:t> </a:t>
          </a:r>
          <a:r>
            <a:rPr lang="en-IN" sz="1400" b="1" i="0" u="none" strike="noStrike">
              <a:solidFill>
                <a:schemeClr val="dk1"/>
              </a:solidFill>
              <a:effectLst/>
              <a:latin typeface="Bell MT" panose="02020503060305020303" pitchFamily="18" charset="0"/>
              <a:ea typeface="+mn-ea"/>
              <a:cs typeface="+mn-cs"/>
            </a:rPr>
            <a:t>-60271.3226</a:t>
          </a:r>
          <a:r>
            <a:rPr lang="en-IN" sz="1400" b="1">
              <a:effectLst/>
              <a:latin typeface="Bell MT" panose="02020503060305020303" pitchFamily="18" charset="0"/>
            </a:rPr>
            <a:t> </a:t>
          </a:r>
          <a:endParaRPr lang="en-IN" sz="1400" b="1">
            <a:solidFill>
              <a:schemeClr val="tx1"/>
            </a:solidFill>
            <a:latin typeface="Bell MT" panose="02020503060305020303" pitchFamily="18" charset="0"/>
          </a:endParaRPr>
        </a:p>
      </xdr:txBody>
    </xdr:sp>
    <xdr:clientData/>
  </xdr:twoCellAnchor>
  <xdr:twoCellAnchor>
    <xdr:from>
      <xdr:col>4</xdr:col>
      <xdr:colOff>571500</xdr:colOff>
      <xdr:row>6</xdr:row>
      <xdr:rowOff>15240</xdr:rowOff>
    </xdr:from>
    <xdr:to>
      <xdr:col>8</xdr:col>
      <xdr:colOff>541020</xdr:colOff>
      <xdr:row>10</xdr:row>
      <xdr:rowOff>30480</xdr:rowOff>
    </xdr:to>
    <xdr:sp macro="" textlink="">
      <xdr:nvSpPr>
        <xdr:cNvPr id="20" name="Hexagon 19">
          <a:extLst>
            <a:ext uri="{FF2B5EF4-FFF2-40B4-BE49-F238E27FC236}">
              <a16:creationId xmlns:a16="http://schemas.microsoft.com/office/drawing/2014/main" id="{22130254-EC7A-42CA-BC12-97C7971D93C4}"/>
            </a:ext>
          </a:extLst>
        </xdr:cNvPr>
        <xdr:cNvSpPr/>
      </xdr:nvSpPr>
      <xdr:spPr>
        <a:xfrm>
          <a:off x="3009900" y="111252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Total Actual (YTD)</a:t>
          </a:r>
          <a:r>
            <a:rPr lang="en-IN" sz="1400" b="1">
              <a:effectLst/>
              <a:latin typeface="Bell MT" panose="02020503060305020303" pitchFamily="18" charset="0"/>
            </a:rPr>
            <a:t> : </a:t>
          </a:r>
          <a:r>
            <a:rPr lang="en-IN" sz="1400" b="1" i="0" u="none" strike="noStrike">
              <a:solidFill>
                <a:schemeClr val="dk1"/>
              </a:solidFill>
              <a:effectLst/>
              <a:latin typeface="Bell MT" panose="02020503060305020303" pitchFamily="18" charset="0"/>
              <a:ea typeface="+mn-ea"/>
              <a:cs typeface="+mn-cs"/>
            </a:rPr>
            <a:t>₹ 30,20,568.54</a:t>
          </a:r>
          <a:r>
            <a:rPr lang="en-IN" sz="1400" b="1">
              <a:effectLst/>
              <a:latin typeface="Bell MT" panose="02020503060305020303" pitchFamily="18" charset="0"/>
            </a:rPr>
            <a:t> </a:t>
          </a:r>
          <a:endParaRPr lang="en-IN" sz="1400" b="1">
            <a:solidFill>
              <a:schemeClr val="tx1"/>
            </a:solidFill>
            <a:latin typeface="Bell MT" panose="02020503060305020303" pitchFamily="18" charset="0"/>
          </a:endParaRPr>
        </a:p>
      </xdr:txBody>
    </xdr:sp>
    <xdr:clientData/>
  </xdr:twoCellAnchor>
  <xdr:twoCellAnchor>
    <xdr:from>
      <xdr:col>14</xdr:col>
      <xdr:colOff>0</xdr:colOff>
      <xdr:row>5</xdr:row>
      <xdr:rowOff>152400</xdr:rowOff>
    </xdr:from>
    <xdr:to>
      <xdr:col>17</xdr:col>
      <xdr:colOff>579120</xdr:colOff>
      <xdr:row>9</xdr:row>
      <xdr:rowOff>167640</xdr:rowOff>
    </xdr:to>
    <xdr:sp macro="" textlink="">
      <xdr:nvSpPr>
        <xdr:cNvPr id="21" name="Hexagon 20">
          <a:extLst>
            <a:ext uri="{FF2B5EF4-FFF2-40B4-BE49-F238E27FC236}">
              <a16:creationId xmlns:a16="http://schemas.microsoft.com/office/drawing/2014/main" id="{4CD6B70C-13E0-473F-8797-F46C3E1F0A99}"/>
            </a:ext>
          </a:extLst>
        </xdr:cNvPr>
        <xdr:cNvSpPr/>
      </xdr:nvSpPr>
      <xdr:spPr>
        <a:xfrm>
          <a:off x="8534400" y="106680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Variance %</a:t>
          </a:r>
          <a:r>
            <a:rPr lang="en-IN" sz="1400" b="1">
              <a:effectLst/>
              <a:latin typeface="Bell MT" panose="02020503060305020303" pitchFamily="18" charset="0"/>
            </a:rPr>
            <a:t> :</a:t>
          </a:r>
          <a:r>
            <a:rPr lang="en-IN" sz="1400" b="1" baseline="0">
              <a:effectLst/>
              <a:latin typeface="Bell MT" panose="02020503060305020303" pitchFamily="18" charset="0"/>
            </a:rPr>
            <a:t> </a:t>
          </a:r>
          <a:r>
            <a:rPr lang="en-IN" sz="1400" b="1" i="0" u="none" strike="noStrike">
              <a:solidFill>
                <a:schemeClr val="dk1"/>
              </a:solidFill>
              <a:effectLst/>
              <a:latin typeface="Bell MT" panose="02020503060305020303" pitchFamily="18" charset="0"/>
              <a:ea typeface="+mn-ea"/>
              <a:cs typeface="+mn-cs"/>
            </a:rPr>
            <a:t>-1.96%</a:t>
          </a:r>
          <a:r>
            <a:rPr lang="en-IN" sz="1400" b="1">
              <a:effectLst/>
              <a:latin typeface="Bell MT" panose="02020503060305020303" pitchFamily="18" charset="0"/>
            </a:rPr>
            <a:t> </a:t>
          </a:r>
          <a:endParaRPr lang="en-IN" sz="1400" b="1">
            <a:solidFill>
              <a:schemeClr val="tx1"/>
            </a:solidFill>
            <a:latin typeface="Bell MT" panose="02020503060305020303" pitchFamily="18" charset="0"/>
          </a:endParaRPr>
        </a:p>
      </xdr:txBody>
    </xdr:sp>
    <xdr:clientData/>
  </xdr:twoCellAnchor>
  <xdr:twoCellAnchor>
    <xdr:from>
      <xdr:col>11</xdr:col>
      <xdr:colOff>601980</xdr:colOff>
      <xdr:row>12</xdr:row>
      <xdr:rowOff>91440</xdr:rowOff>
    </xdr:from>
    <xdr:to>
      <xdr:col>15</xdr:col>
      <xdr:colOff>571500</xdr:colOff>
      <xdr:row>16</xdr:row>
      <xdr:rowOff>106680</xdr:rowOff>
    </xdr:to>
    <xdr:sp macro="" textlink="">
      <xdr:nvSpPr>
        <xdr:cNvPr id="22" name="Hexagon 21">
          <a:extLst>
            <a:ext uri="{FF2B5EF4-FFF2-40B4-BE49-F238E27FC236}">
              <a16:creationId xmlns:a16="http://schemas.microsoft.com/office/drawing/2014/main" id="{84CF622B-DD93-4D0C-9416-6A44D51C52DE}"/>
            </a:ext>
          </a:extLst>
        </xdr:cNvPr>
        <xdr:cNvSpPr/>
      </xdr:nvSpPr>
      <xdr:spPr>
        <a:xfrm>
          <a:off x="7307580" y="228600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Largest Positive Variance</a:t>
          </a:r>
          <a:r>
            <a:rPr lang="en-IN" sz="1400" b="1">
              <a:effectLst/>
              <a:latin typeface="Bell MT" panose="02020503060305020303" pitchFamily="18" charset="0"/>
            </a:rPr>
            <a:t> : 0.35</a:t>
          </a:r>
          <a:endParaRPr lang="en-IN" sz="1400" b="1">
            <a:solidFill>
              <a:schemeClr val="tx1"/>
            </a:solidFill>
            <a:latin typeface="Bell MT" panose="02020503060305020303" pitchFamily="18" charset="0"/>
          </a:endParaRPr>
        </a:p>
      </xdr:txBody>
    </xdr:sp>
    <xdr:clientData/>
  </xdr:twoCellAnchor>
  <xdr:twoCellAnchor>
    <xdr:from>
      <xdr:col>7</xdr:col>
      <xdr:colOff>228600</xdr:colOff>
      <xdr:row>12</xdr:row>
      <xdr:rowOff>106680</xdr:rowOff>
    </xdr:from>
    <xdr:to>
      <xdr:col>11</xdr:col>
      <xdr:colOff>198120</xdr:colOff>
      <xdr:row>16</xdr:row>
      <xdr:rowOff>121920</xdr:rowOff>
    </xdr:to>
    <xdr:sp macro="" textlink="">
      <xdr:nvSpPr>
        <xdr:cNvPr id="23" name="Hexagon 22">
          <a:extLst>
            <a:ext uri="{FF2B5EF4-FFF2-40B4-BE49-F238E27FC236}">
              <a16:creationId xmlns:a16="http://schemas.microsoft.com/office/drawing/2014/main" id="{13E1E7AA-E5D2-4368-8E10-F1F3F920BB28}"/>
            </a:ext>
          </a:extLst>
        </xdr:cNvPr>
        <xdr:cNvSpPr/>
      </xdr:nvSpPr>
      <xdr:spPr>
        <a:xfrm>
          <a:off x="4495800" y="230124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Departments Over Budget</a:t>
          </a:r>
          <a:r>
            <a:rPr lang="en-IN" sz="1400" b="1">
              <a:effectLst/>
              <a:latin typeface="Bell MT" panose="02020503060305020303" pitchFamily="18" charset="0"/>
            </a:rPr>
            <a:t> : 0</a:t>
          </a:r>
          <a:endParaRPr lang="en-IN" sz="1400" b="1">
            <a:solidFill>
              <a:schemeClr val="tx1"/>
            </a:solidFill>
            <a:latin typeface="Bell MT" panose="02020503060305020303" pitchFamily="18" charset="0"/>
          </a:endParaRPr>
        </a:p>
      </xdr:txBody>
    </xdr:sp>
    <xdr:clientData/>
  </xdr:twoCellAnchor>
  <xdr:twoCellAnchor>
    <xdr:from>
      <xdr:col>2</xdr:col>
      <xdr:colOff>312420</xdr:colOff>
      <xdr:row>12</xdr:row>
      <xdr:rowOff>121920</xdr:rowOff>
    </xdr:from>
    <xdr:to>
      <xdr:col>6</xdr:col>
      <xdr:colOff>281940</xdr:colOff>
      <xdr:row>16</xdr:row>
      <xdr:rowOff>137160</xdr:rowOff>
    </xdr:to>
    <xdr:sp macro="" textlink="">
      <xdr:nvSpPr>
        <xdr:cNvPr id="24" name="Hexagon 23">
          <a:extLst>
            <a:ext uri="{FF2B5EF4-FFF2-40B4-BE49-F238E27FC236}">
              <a16:creationId xmlns:a16="http://schemas.microsoft.com/office/drawing/2014/main" id="{1C824A2C-F852-4F58-BCA1-03392DF2D9BA}"/>
            </a:ext>
          </a:extLst>
        </xdr:cNvPr>
        <xdr:cNvSpPr/>
      </xdr:nvSpPr>
      <xdr:spPr>
        <a:xfrm>
          <a:off x="1531620" y="2316480"/>
          <a:ext cx="2407920" cy="74676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400" b="1" i="0" u="none" strike="noStrike">
              <a:solidFill>
                <a:schemeClr val="dk1"/>
              </a:solidFill>
              <a:effectLst/>
              <a:latin typeface="Bell MT" panose="02020503060305020303" pitchFamily="18" charset="0"/>
              <a:ea typeface="+mn-ea"/>
              <a:cs typeface="+mn-cs"/>
            </a:rPr>
            <a:t>Departments Within Budget</a:t>
          </a:r>
          <a:r>
            <a:rPr lang="en-IN" sz="1400" b="1">
              <a:effectLst/>
              <a:latin typeface="Bell MT" panose="02020503060305020303" pitchFamily="18" charset="0"/>
            </a:rPr>
            <a:t> :</a:t>
          </a:r>
          <a:r>
            <a:rPr lang="en-IN" sz="1400" b="1" baseline="0">
              <a:effectLst/>
              <a:latin typeface="Bell MT" panose="02020503060305020303" pitchFamily="18" charset="0"/>
            </a:rPr>
            <a:t> 5</a:t>
          </a:r>
          <a:endParaRPr lang="en-IN" sz="1400" b="1">
            <a:solidFill>
              <a:schemeClr val="tx1"/>
            </a:solidFill>
            <a:latin typeface="Bell MT" panose="02020503060305020303" pitchFamily="18" charset="0"/>
          </a:endParaRPr>
        </a:p>
      </xdr:txBody>
    </xdr:sp>
    <xdr:clientData/>
  </xdr:twoCellAnchor>
  <xdr:twoCellAnchor>
    <xdr:from>
      <xdr:col>0</xdr:col>
      <xdr:colOff>487680</xdr:colOff>
      <xdr:row>18</xdr:row>
      <xdr:rowOff>30480</xdr:rowOff>
    </xdr:from>
    <xdr:to>
      <xdr:col>6</xdr:col>
      <xdr:colOff>571500</xdr:colOff>
      <xdr:row>30</xdr:row>
      <xdr:rowOff>53340</xdr:rowOff>
    </xdr:to>
    <xdr:graphicFrame macro="">
      <xdr:nvGraphicFramePr>
        <xdr:cNvPr id="25" name="Chart 24">
          <a:extLst>
            <a:ext uri="{FF2B5EF4-FFF2-40B4-BE49-F238E27FC236}">
              <a16:creationId xmlns:a16="http://schemas.microsoft.com/office/drawing/2014/main" id="{0E8D2BFF-C0B9-4031-9865-B3BF86DB2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18</xdr:row>
      <xdr:rowOff>45720</xdr:rowOff>
    </xdr:from>
    <xdr:to>
      <xdr:col>13</xdr:col>
      <xdr:colOff>434340</xdr:colOff>
      <xdr:row>30</xdr:row>
      <xdr:rowOff>53340</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3BD46DF3-EC0A-4992-AC1A-6FC3341A47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88180" y="3337560"/>
              <a:ext cx="3870960" cy="2202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114300</xdr:colOff>
      <xdr:row>18</xdr:row>
      <xdr:rowOff>0</xdr:rowOff>
    </xdr:from>
    <xdr:to>
      <xdr:col>20</xdr:col>
      <xdr:colOff>76200</xdr:colOff>
      <xdr:row>30</xdr:row>
      <xdr:rowOff>0</xdr:rowOff>
    </xdr:to>
    <xdr:graphicFrame macro="">
      <xdr:nvGraphicFramePr>
        <xdr:cNvPr id="27" name="Chart 26">
          <a:extLst>
            <a:ext uri="{FF2B5EF4-FFF2-40B4-BE49-F238E27FC236}">
              <a16:creationId xmlns:a16="http://schemas.microsoft.com/office/drawing/2014/main" id="{FB03FB10-3245-4082-8AEE-AFF2A1035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266700</xdr:colOff>
      <xdr:row>31</xdr:row>
      <xdr:rowOff>53340</xdr:rowOff>
    </xdr:from>
    <xdr:to>
      <xdr:col>10</xdr:col>
      <xdr:colOff>266700</xdr:colOff>
      <xdr:row>45</xdr:row>
      <xdr:rowOff>74295</xdr:rowOff>
    </xdr:to>
    <mc:AlternateContent xmlns:mc="http://schemas.openxmlformats.org/markup-compatibility/2006" xmlns:a14="http://schemas.microsoft.com/office/drawing/2010/main">
      <mc:Choice Requires="a14">
        <xdr:graphicFrame macro="">
          <xdr:nvGraphicFramePr>
            <xdr:cNvPr id="28" name="Department">
              <a:extLst>
                <a:ext uri="{FF2B5EF4-FFF2-40B4-BE49-F238E27FC236}">
                  <a16:creationId xmlns:a16="http://schemas.microsoft.com/office/drawing/2014/main" id="{E63758E1-7C3E-4690-ADAF-8E299BA90C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533900" y="5722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480060</xdr:colOff>
      <xdr:row>31</xdr:row>
      <xdr:rowOff>53340</xdr:rowOff>
    </xdr:from>
    <xdr:to>
      <xdr:col>3</xdr:col>
      <xdr:colOff>480060</xdr:colOff>
      <xdr:row>45</xdr:row>
      <xdr:rowOff>74295</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C464E53E-6AEB-465F-85C6-A58EEBD9D3E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80060" y="5722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31</xdr:row>
      <xdr:rowOff>53340</xdr:rowOff>
    </xdr:from>
    <xdr:to>
      <xdr:col>7</xdr:col>
      <xdr:colOff>60960</xdr:colOff>
      <xdr:row>45</xdr:row>
      <xdr:rowOff>74295</xdr:rowOff>
    </xdr:to>
    <mc:AlternateContent xmlns:mc="http://schemas.openxmlformats.org/markup-compatibility/2006" xmlns:a14="http://schemas.microsoft.com/office/drawing/2010/main">
      <mc:Choice Requires="a14">
        <xdr:graphicFrame macro="">
          <xdr:nvGraphicFramePr>
            <xdr:cNvPr id="30" name="% Variance">
              <a:extLst>
                <a:ext uri="{FF2B5EF4-FFF2-40B4-BE49-F238E27FC236}">
                  <a16:creationId xmlns:a16="http://schemas.microsoft.com/office/drawing/2014/main" id="{B328ABD4-D70C-4AC0-A588-344C423BFF2B}"/>
                </a:ext>
              </a:extLst>
            </xdr:cNvPr>
            <xdr:cNvGraphicFramePr/>
          </xdr:nvGraphicFramePr>
          <xdr:xfrm>
            <a:off x="0" y="0"/>
            <a:ext cx="0" cy="0"/>
          </xdr:xfrm>
          <a:graphic>
            <a:graphicData uri="http://schemas.microsoft.com/office/drawing/2010/slicer">
              <sle:slicer xmlns:sle="http://schemas.microsoft.com/office/drawing/2010/slicer" name="% Variance"/>
            </a:graphicData>
          </a:graphic>
        </xdr:graphicFrame>
      </mc:Choice>
      <mc:Fallback xmlns="">
        <xdr:sp macro="" textlink="">
          <xdr:nvSpPr>
            <xdr:cNvPr id="0" name=""/>
            <xdr:cNvSpPr>
              <a:spLocks noTextEdit="1"/>
            </xdr:cNvSpPr>
          </xdr:nvSpPr>
          <xdr:spPr>
            <a:xfrm>
              <a:off x="2499360" y="5722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403860</xdr:colOff>
      <xdr:row>31</xdr:row>
      <xdr:rowOff>22860</xdr:rowOff>
    </xdr:from>
    <xdr:to>
      <xdr:col>13</xdr:col>
      <xdr:colOff>403860</xdr:colOff>
      <xdr:row>45</xdr:row>
      <xdr:rowOff>43815</xdr:rowOff>
    </xdr:to>
    <mc:AlternateContent xmlns:mc="http://schemas.openxmlformats.org/markup-compatibility/2006" xmlns:a14="http://schemas.microsoft.com/office/drawing/2010/main">
      <mc:Choice Requires="a14">
        <xdr:graphicFrame macro="">
          <xdr:nvGraphicFramePr>
            <xdr:cNvPr id="31" name="Performance Category">
              <a:extLst>
                <a:ext uri="{FF2B5EF4-FFF2-40B4-BE49-F238E27FC236}">
                  <a16:creationId xmlns:a16="http://schemas.microsoft.com/office/drawing/2014/main" id="{62A6E30C-DC07-47D8-AD88-F54876F562A5}"/>
                </a:ext>
              </a:extLst>
            </xdr:cNvPr>
            <xdr:cNvGraphicFramePr/>
          </xdr:nvGraphicFramePr>
          <xdr:xfrm>
            <a:off x="0" y="0"/>
            <a:ext cx="0" cy="0"/>
          </xdr:xfrm>
          <a:graphic>
            <a:graphicData uri="http://schemas.microsoft.com/office/drawing/2010/slicer">
              <sle:slicer xmlns:sle="http://schemas.microsoft.com/office/drawing/2010/slicer" name="Performance Category"/>
            </a:graphicData>
          </a:graphic>
        </xdr:graphicFrame>
      </mc:Choice>
      <mc:Fallback xmlns="">
        <xdr:sp macro="" textlink="">
          <xdr:nvSpPr>
            <xdr:cNvPr id="0" name=""/>
            <xdr:cNvSpPr>
              <a:spLocks noTextEdit="1"/>
            </xdr:cNvSpPr>
          </xdr:nvSpPr>
          <xdr:spPr>
            <a:xfrm>
              <a:off x="6499860" y="5692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31</xdr:row>
      <xdr:rowOff>30480</xdr:rowOff>
    </xdr:from>
    <xdr:to>
      <xdr:col>20</xdr:col>
      <xdr:colOff>152400</xdr:colOff>
      <xdr:row>45</xdr:row>
      <xdr:rowOff>15240</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18C449DA-3437-46E4-B7DF-119AF36CEE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34400" y="5699760"/>
              <a:ext cx="3810000" cy="254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381000</xdr:colOff>
      <xdr:row>26</xdr:row>
      <xdr:rowOff>60960</xdr:rowOff>
    </xdr:from>
    <xdr:to>
      <xdr:col>24</xdr:col>
      <xdr:colOff>419100</xdr:colOff>
      <xdr:row>45</xdr:row>
      <xdr:rowOff>83820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FB4A9FA4-8832-43D5-A704-BD39288F12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573000" y="4815840"/>
              <a:ext cx="4351020" cy="3497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289560</xdr:colOff>
      <xdr:row>48</xdr:row>
      <xdr:rowOff>30480</xdr:rowOff>
    </xdr:from>
    <xdr:to>
      <xdr:col>8</xdr:col>
      <xdr:colOff>160020</xdr:colOff>
      <xdr:row>53</xdr:row>
      <xdr:rowOff>7620</xdr:rowOff>
    </xdr:to>
    <xdr:sp macro="" textlink="">
      <xdr:nvSpPr>
        <xdr:cNvPr id="37" name="Hexagon 36">
          <a:extLst>
            <a:ext uri="{FF2B5EF4-FFF2-40B4-BE49-F238E27FC236}">
              <a16:creationId xmlns:a16="http://schemas.microsoft.com/office/drawing/2014/main" id="{C5BB2E50-BA2E-461A-AE59-D95C981515DE}"/>
            </a:ext>
          </a:extLst>
        </xdr:cNvPr>
        <xdr:cNvSpPr/>
      </xdr:nvSpPr>
      <xdr:spPr>
        <a:xfrm>
          <a:off x="899160" y="8808720"/>
          <a:ext cx="4137660" cy="89154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l"/>
          <a:r>
            <a:rPr lang="en-IN" sz="1600" b="1">
              <a:solidFill>
                <a:schemeClr val="tx1"/>
              </a:solidFill>
              <a:latin typeface="Bell MT" panose="02020503060305020303" pitchFamily="18" charset="0"/>
            </a:rPr>
            <a:t>Standard Deviation</a:t>
          </a:r>
          <a:r>
            <a:rPr lang="en-IN" sz="1600" b="1" baseline="0">
              <a:solidFill>
                <a:schemeClr val="tx1"/>
              </a:solidFill>
              <a:latin typeface="Bell MT" panose="02020503060305020303" pitchFamily="18" charset="0"/>
            </a:rPr>
            <a:t> of Variance :  </a:t>
          </a:r>
          <a:r>
            <a:rPr lang="en-IN" sz="1600" b="1" i="0" u="none" strike="noStrike">
              <a:solidFill>
                <a:schemeClr val="dk1"/>
              </a:solidFill>
              <a:effectLst/>
              <a:latin typeface="Bell MT" panose="02020503060305020303" pitchFamily="18" charset="0"/>
              <a:ea typeface="+mn-ea"/>
              <a:cs typeface="+mn-cs"/>
            </a:rPr>
            <a:t>25.1738457</a:t>
          </a:r>
          <a:r>
            <a:rPr lang="en-IN" sz="1600" b="1">
              <a:effectLst/>
              <a:latin typeface="Bell MT" panose="02020503060305020303" pitchFamily="18" charset="0"/>
            </a:rPr>
            <a:t> </a:t>
          </a:r>
          <a:r>
            <a:rPr lang="en-IN" sz="1600" b="1" baseline="0">
              <a:solidFill>
                <a:schemeClr val="tx1"/>
              </a:solidFill>
              <a:latin typeface="Bell MT" panose="02020503060305020303" pitchFamily="18" charset="0"/>
            </a:rPr>
            <a:t> </a:t>
          </a:r>
          <a:endParaRPr lang="en-IN" sz="1600" b="1">
            <a:solidFill>
              <a:schemeClr val="tx1"/>
            </a:solidFill>
            <a:latin typeface="Bell MT" panose="02020503060305020303" pitchFamily="18" charset="0"/>
          </a:endParaRPr>
        </a:p>
      </xdr:txBody>
    </xdr:sp>
    <xdr:clientData/>
  </xdr:twoCellAnchor>
  <xdr:twoCellAnchor>
    <xdr:from>
      <xdr:col>8</xdr:col>
      <xdr:colOff>426720</xdr:colOff>
      <xdr:row>47</xdr:row>
      <xdr:rowOff>160020</xdr:rowOff>
    </xdr:from>
    <xdr:to>
      <xdr:col>15</xdr:col>
      <xdr:colOff>327660</xdr:colOff>
      <xdr:row>52</xdr:row>
      <xdr:rowOff>121920</xdr:rowOff>
    </xdr:to>
    <xdr:sp macro="" textlink="">
      <xdr:nvSpPr>
        <xdr:cNvPr id="38" name="Hexagon 37">
          <a:extLst>
            <a:ext uri="{FF2B5EF4-FFF2-40B4-BE49-F238E27FC236}">
              <a16:creationId xmlns:a16="http://schemas.microsoft.com/office/drawing/2014/main" id="{7163B7D4-2619-4BDA-8F64-4EF9D88F82EA}"/>
            </a:ext>
          </a:extLst>
        </xdr:cNvPr>
        <xdr:cNvSpPr/>
      </xdr:nvSpPr>
      <xdr:spPr>
        <a:xfrm>
          <a:off x="5303520" y="8755380"/>
          <a:ext cx="4168140" cy="87630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800" b="1">
              <a:solidFill>
                <a:schemeClr val="tx1"/>
              </a:solidFill>
              <a:latin typeface="Bell MT" panose="02020503060305020303" pitchFamily="18" charset="0"/>
            </a:rPr>
            <a:t>Average of Variance : </a:t>
          </a:r>
          <a:r>
            <a:rPr lang="en-IN" sz="1800" b="1" i="0" u="none" strike="noStrike">
              <a:solidFill>
                <a:schemeClr val="dk1"/>
              </a:solidFill>
              <a:effectLst/>
              <a:latin typeface="Bell MT" panose="02020503060305020303" pitchFamily="18" charset="0"/>
              <a:ea typeface="+mn-ea"/>
              <a:cs typeface="+mn-cs"/>
            </a:rPr>
            <a:t>-1.9217</a:t>
          </a:r>
          <a:r>
            <a:rPr lang="en-IN" sz="1800" b="1">
              <a:effectLst/>
              <a:latin typeface="Bell MT" panose="02020503060305020303" pitchFamily="18" charset="0"/>
            </a:rPr>
            <a:t> </a:t>
          </a:r>
          <a:endParaRPr lang="en-IN" sz="1800" b="1">
            <a:solidFill>
              <a:schemeClr val="tx1"/>
            </a:solidFill>
            <a:latin typeface="Bell MT" panose="02020503060305020303" pitchFamily="18" charset="0"/>
          </a:endParaRPr>
        </a:p>
      </xdr:txBody>
    </xdr:sp>
    <xdr:clientData/>
  </xdr:twoCellAnchor>
  <xdr:twoCellAnchor>
    <xdr:from>
      <xdr:col>16</xdr:col>
      <xdr:colOff>15240</xdr:colOff>
      <xdr:row>47</xdr:row>
      <xdr:rowOff>114300</xdr:rowOff>
    </xdr:from>
    <xdr:to>
      <xdr:col>22</xdr:col>
      <xdr:colOff>228600</xdr:colOff>
      <xdr:row>52</xdr:row>
      <xdr:rowOff>76200</xdr:rowOff>
    </xdr:to>
    <xdr:sp macro="" textlink="">
      <xdr:nvSpPr>
        <xdr:cNvPr id="39" name="Hexagon 38">
          <a:hlinkClick xmlns:r="http://schemas.openxmlformats.org/officeDocument/2006/relationships" r:id="rId6"/>
          <a:extLst>
            <a:ext uri="{FF2B5EF4-FFF2-40B4-BE49-F238E27FC236}">
              <a16:creationId xmlns:a16="http://schemas.microsoft.com/office/drawing/2014/main" id="{812E3024-C44B-4481-A026-5A97E293F9B7}"/>
            </a:ext>
          </a:extLst>
        </xdr:cNvPr>
        <xdr:cNvSpPr/>
      </xdr:nvSpPr>
      <xdr:spPr>
        <a:xfrm>
          <a:off x="9768840" y="8709660"/>
          <a:ext cx="4168140" cy="876300"/>
        </a:xfrm>
        <a:prstGeom prst="hexagon">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lvl="0" algn="ctr"/>
          <a:r>
            <a:rPr lang="en-IN" sz="1800" b="1">
              <a:solidFill>
                <a:sysClr val="windowText" lastClr="000000"/>
              </a:solidFill>
              <a:latin typeface="Bell MT" panose="02020503060305020303" pitchFamily="18" charset="0"/>
            </a:rPr>
            <a:t>Click To Drill Down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762000</xdr:colOff>
      <xdr:row>14</xdr:row>
      <xdr:rowOff>95250</xdr:rowOff>
    </xdr:from>
    <xdr:to>
      <xdr:col>9</xdr:col>
      <xdr:colOff>289560</xdr:colOff>
      <xdr:row>29</xdr:row>
      <xdr:rowOff>95250</xdr:rowOff>
    </xdr:to>
    <xdr:graphicFrame macro="">
      <xdr:nvGraphicFramePr>
        <xdr:cNvPr id="2" name="Chart 1">
          <a:extLst>
            <a:ext uri="{FF2B5EF4-FFF2-40B4-BE49-F238E27FC236}">
              <a16:creationId xmlns:a16="http://schemas.microsoft.com/office/drawing/2014/main" id="{4D4CBA10-DD6A-81D0-EBA3-5F5A0CB85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335280</xdr:colOff>
      <xdr:row>14</xdr:row>
      <xdr:rowOff>137160</xdr:rowOff>
    </xdr:from>
    <xdr:to>
      <xdr:col>2</xdr:col>
      <xdr:colOff>563880</xdr:colOff>
      <xdr:row>28</xdr:row>
      <xdr:rowOff>158115</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64364C72-5C61-8B11-84F1-C495F3DD087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35280" y="2697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571500</xdr:colOff>
      <xdr:row>14</xdr:row>
      <xdr:rowOff>121920</xdr:rowOff>
    </xdr:from>
    <xdr:to>
      <xdr:col>12</xdr:col>
      <xdr:colOff>571500</xdr:colOff>
      <xdr:row>28</xdr:row>
      <xdr:rowOff>142875</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B2D72F7A-5118-4962-7F0F-8CFA9FB0A96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237220" y="2682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eena M" refreshedDate="46188.450766435184" createdVersion="8" refreshedVersion="8" minRefreshableVersion="3" recordCount="100" xr:uid="{68835090-5C04-46C1-AB5F-806F988CA2A2}">
  <cacheSource type="worksheet">
    <worksheetSource ref="A1:J101" sheet="Dataset"/>
  </cacheSource>
  <cacheFields count="9">
    <cacheField name="Department" numFmtId="0">
      <sharedItems count="5">
        <s v="Sales"/>
        <s v="HR"/>
        <s v="IT"/>
        <s v="Marketing"/>
        <s v="Finance"/>
      </sharedItems>
    </cacheField>
    <cacheField name="Month" numFmtId="0">
      <sharedItems/>
    </cacheField>
    <cacheField name="Budget" numFmtId="0">
      <sharedItems containsSemiMixedTypes="0" containsString="0" containsNumber="1" minValue="10734.71" maxValue="49374.06"/>
    </cacheField>
    <cacheField name="Actual" numFmtId="0">
      <sharedItems containsSemiMixedTypes="0" containsString="0" containsNumber="1" minValue="2664.0967449999998" maxValue="54809.225079999997"/>
    </cacheField>
    <cacheField name="Variance" numFmtId="0">
      <sharedItems containsSemiMixedTypes="0" containsString="0" containsNumber="1" minValue="-9819.3919170000008" maxValue="9842.6663270000008"/>
    </cacheField>
    <cacheField name="% Variance" numFmtId="0">
      <sharedItems containsSemiMixedTypes="0" containsString="0" containsNumber="1" minValue="-77.09" maxValue="80.55"/>
    </cacheField>
    <cacheField name="Sum of Budget" numFmtId="0">
      <sharedItems containsString="0" containsBlank="1" containsNumber="1" minValue="3080839.86" maxValue="3080839.86"/>
    </cacheField>
    <cacheField name="Sum of Actual" numFmtId="0">
      <sharedItems containsString="0" containsBlank="1" containsNumber="1" minValue="3020568.5373970005" maxValue="3020568.5373970005"/>
    </cacheField>
    <cacheField name="Variances" numFmtId="0" formula="Actual-Varianc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eena M" refreshedDate="46188.465879976851" createdVersion="8" refreshedVersion="8" minRefreshableVersion="3" recordCount="100" xr:uid="{ED4EB2E3-2CC9-4117-AC9F-1344DF88E5DA}">
  <cacheSource type="worksheet">
    <worksheetSource ref="A1:F101" sheet="Dataset"/>
  </cacheSource>
  <cacheFields count="7">
    <cacheField name="Department" numFmtId="0">
      <sharedItems count="5">
        <s v="Sales"/>
        <s v="HR"/>
        <s v="IT"/>
        <s v="Marketing"/>
        <s v="Finance"/>
      </sharedItems>
    </cacheField>
    <cacheField name="Month" numFmtId="0">
      <sharedItems count="12">
        <s v="June"/>
        <s v="April"/>
        <s v="February"/>
        <s v="November"/>
        <s v="January"/>
        <s v="December"/>
        <s v="October"/>
        <s v="August"/>
        <s v="March"/>
        <s v="July"/>
        <s v="September"/>
        <s v="May"/>
      </sharedItems>
    </cacheField>
    <cacheField name="Budget" numFmtId="0">
      <sharedItems containsSemiMixedTypes="0" containsString="0" containsNumber="1" minValue="10734.71" maxValue="49374.06"/>
    </cacheField>
    <cacheField name="Actual" numFmtId="0">
      <sharedItems containsSemiMixedTypes="0" containsString="0" containsNumber="1" minValue="2664.0967449999998" maxValue="54809.225079999997"/>
    </cacheField>
    <cacheField name="Variance" numFmtId="0">
      <sharedItems containsSemiMixedTypes="0" containsString="0" containsNumber="1" minValue="-9819.3919170000008" maxValue="9842.6663270000008"/>
    </cacheField>
    <cacheField name="% Variance" numFmtId="0">
      <sharedItems containsSemiMixedTypes="0" containsString="0" containsNumber="1" minValue="-77.09" maxValue="80.55" count="99">
        <n v="10.67"/>
        <n v="6.04"/>
        <n v="30.8"/>
        <n v="18.87"/>
        <n v="27.29"/>
        <n v="-18.77"/>
        <n v="-8.3800000000000008"/>
        <n v="-8.5"/>
        <n v="-1.38"/>
        <n v="42.04"/>
        <n v="-18.489999999999998"/>
        <n v="14.83"/>
        <n v="-7.33"/>
        <n v="4.16"/>
        <n v="6.82"/>
        <n v="-7.01"/>
        <n v="0.63"/>
        <n v="-3.62"/>
        <n v="-18.61"/>
        <n v="-3.22"/>
        <n v="-20.149999999999999"/>
        <n v="-11.99"/>
        <n v="13.17"/>
        <n v="4.84"/>
        <n v="30.3"/>
        <n v="-27.63"/>
        <n v="16.52"/>
        <n v="-15.76"/>
        <n v="-4.92"/>
        <n v="15.03"/>
        <n v="-76.14"/>
        <n v="5.64"/>
        <n v="4.3600000000000003"/>
        <n v="-15.54"/>
        <n v="-12.24"/>
        <n v="-21.83"/>
        <n v="33.54"/>
        <n v="-2.36"/>
        <n v="-18.75"/>
        <n v="-2.72"/>
        <n v="7.9"/>
        <n v="-60.83"/>
        <n v="-2.75"/>
        <n v="3.66"/>
        <n v="59.94"/>
        <n v="-10.8"/>
        <n v="-8.33"/>
        <n v="-6.96"/>
        <n v="6.12"/>
        <n v="-13.05"/>
        <n v="1.41"/>
        <n v="11.77"/>
        <n v="11.73"/>
        <n v="-2.59"/>
        <n v="21.12"/>
        <n v="3.96"/>
        <n v="2.19"/>
        <n v="-29"/>
        <n v="28.71"/>
        <n v="-18.23"/>
        <n v="-18.39"/>
        <n v="-77.09"/>
        <n v="16.91"/>
        <n v="-19.989999999999998"/>
        <n v="-16.41"/>
        <n v="-24.4"/>
        <n v="-22.03"/>
        <n v="5.81"/>
        <n v="10.87"/>
        <n v="-8.86"/>
        <n v="-1.4"/>
        <n v="9.35"/>
        <n v="-21.51"/>
        <n v="-12.94"/>
        <n v="80.55"/>
        <n v="9.73"/>
        <n v="-45.37"/>
        <n v="1.2"/>
        <n v="-13.51"/>
        <n v="2.0299999999999998"/>
        <n v="-25.18"/>
        <n v="-55.39"/>
        <n v="-27.28"/>
        <n v="46.73"/>
        <n v="17.420000000000002"/>
        <n v="-37.22"/>
        <n v="-14.29"/>
        <n v="27.21"/>
        <n v="-14.2"/>
        <n v="-19.93"/>
        <n v="21.13"/>
        <n v="-13.92"/>
        <n v="8.1999999999999993"/>
        <n v="23.51"/>
        <n v="-30.41"/>
        <n v="-16.739999999999998"/>
        <n v="19.739999999999998"/>
        <n v="65.25"/>
        <n v="20.8"/>
      </sharedItems>
    </cacheField>
    <cacheField name="Variances" numFmtId="0" formula="Actual-Budget" databaseField="0"/>
  </cacheFields>
  <extLst>
    <ext xmlns:x14="http://schemas.microsoft.com/office/spreadsheetml/2009/9/main" uri="{725AE2AE-9491-48be-B2B4-4EB974FC3084}">
      <x14:pivotCacheDefinition pivotCacheId="15892848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seena M" refreshedDate="46188.515681712961" createdVersion="8" refreshedVersion="8" minRefreshableVersion="3" recordCount="100" xr:uid="{0FC0DAF6-8210-4328-AB8D-7409B65FCD89}">
  <cacheSource type="worksheet">
    <worksheetSource ref="A1:G101" sheet="Dataset"/>
  </cacheSource>
  <cacheFields count="7">
    <cacheField name="Department" numFmtId="0">
      <sharedItems count="5">
        <s v="Sales"/>
        <s v="HR"/>
        <s v="IT"/>
        <s v="Marketing"/>
        <s v="Finance"/>
      </sharedItems>
    </cacheField>
    <cacheField name="Month" numFmtId="0">
      <sharedItems count="12">
        <s v="June"/>
        <s v="April"/>
        <s v="February"/>
        <s v="November"/>
        <s v="January"/>
        <s v="December"/>
        <s v="October"/>
        <s v="August"/>
        <s v="March"/>
        <s v="July"/>
        <s v="September"/>
        <s v="May"/>
      </sharedItems>
    </cacheField>
    <cacheField name="Budget" numFmtId="0">
      <sharedItems containsSemiMixedTypes="0" containsString="0" containsNumber="1" minValue="10734.71" maxValue="49374.06"/>
    </cacheField>
    <cacheField name="Actual" numFmtId="0">
      <sharedItems containsSemiMixedTypes="0" containsString="0" containsNumber="1" minValue="2664.0967449999998" maxValue="54809.225079999997"/>
    </cacheField>
    <cacheField name="Variance" numFmtId="0">
      <sharedItems containsSemiMixedTypes="0" containsString="0" containsNumber="1" minValue="-9819.3919170000008" maxValue="9842.6663270000008"/>
    </cacheField>
    <cacheField name="% Variance" numFmtId="0">
      <sharedItems containsSemiMixedTypes="0" containsString="0" containsNumber="1" minValue="-77.09" maxValue="80.55"/>
    </cacheField>
    <cacheField name="Performance Category" numFmtId="0">
      <sharedItems count="4">
        <s v="Under Budget"/>
        <s v="Significantly Over"/>
        <s v="Slightly Over"/>
        <s v="Within Budget"/>
      </sharedItems>
    </cacheField>
  </cacheFields>
  <extLst>
    <ext xmlns:x14="http://schemas.microsoft.com/office/spreadsheetml/2009/9/main" uri="{725AE2AE-9491-48be-B2B4-4EB974FC3084}">
      <x14:pivotCacheDefinition pivotCacheId="1562272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June"/>
    <n v="19901.599999999999"/>
    <n v="22025.37427"/>
    <n v="2123.7742710000002"/>
    <n v="10.67"/>
    <n v="3080839.86"/>
    <n v="3020568.5373970005"/>
  </r>
  <r>
    <x v="1"/>
    <s v="April"/>
    <n v="32336.51"/>
    <n v="34290.981310000003"/>
    <n v="1954.471305"/>
    <n v="6.04"/>
    <m/>
    <m/>
  </r>
  <r>
    <x v="2"/>
    <s v="April"/>
    <n v="19021.61"/>
    <n v="24880.731889999999"/>
    <n v="5859.1218920000001"/>
    <n v="30.8"/>
    <m/>
    <m/>
  </r>
  <r>
    <x v="2"/>
    <s v="April"/>
    <n v="16433.02"/>
    <n v="19533.20678"/>
    <n v="3100.1867769999999"/>
    <n v="18.87"/>
    <m/>
    <m/>
  </r>
  <r>
    <x v="3"/>
    <s v="February"/>
    <n v="36060.78"/>
    <n v="45903.446329999999"/>
    <n v="9842.6663270000008"/>
    <n v="27.29"/>
    <m/>
    <m/>
  </r>
  <r>
    <x v="3"/>
    <s v="April"/>
    <n v="23037.02"/>
    <n v="18714.110570000001"/>
    <n v="-4322.9094279999999"/>
    <n v="-18.77"/>
    <m/>
    <m/>
  </r>
  <r>
    <x v="1"/>
    <s v="November"/>
    <n v="33610.559999999998"/>
    <n v="30793.580590000001"/>
    <n v="-2816.9794069999998"/>
    <n v="-8.3800000000000008"/>
    <m/>
    <m/>
  </r>
  <r>
    <x v="1"/>
    <s v="January"/>
    <n v="27329.87"/>
    <n v="25006.813040000001"/>
    <n v="-2323.056963"/>
    <n v="-8.5"/>
    <m/>
    <m/>
  </r>
  <r>
    <x v="4"/>
    <s v="December"/>
    <n v="49374.06"/>
    <n v="48690.316140000003"/>
    <n v="-683.74385959999995"/>
    <n v="-1.38"/>
    <m/>
    <m/>
  </r>
  <r>
    <x v="3"/>
    <s v="June"/>
    <n v="15983.23"/>
    <n v="22703.191279999999"/>
    <n v="6719.961276"/>
    <n v="42.04"/>
    <m/>
    <m/>
  </r>
  <r>
    <x v="0"/>
    <s v="January"/>
    <n v="28583.94"/>
    <n v="23299.781879999999"/>
    <n v="-5284.1581210000004"/>
    <n v="-18.489999999999998"/>
    <m/>
    <m/>
  </r>
  <r>
    <x v="2"/>
    <s v="October"/>
    <n v="37218.269999999997"/>
    <n v="42738.274140000001"/>
    <n v="5520.0041410000003"/>
    <n v="14.83"/>
    <m/>
    <m/>
  </r>
  <r>
    <x v="1"/>
    <s v="June"/>
    <n v="25821.8"/>
    <n v="23928.003659999998"/>
    <n v="-1893.7963380000001"/>
    <n v="-7.33"/>
    <m/>
    <m/>
  </r>
  <r>
    <x v="2"/>
    <s v="January"/>
    <n v="48987.99"/>
    <n v="51025.097670000003"/>
    <n v="2037.107673"/>
    <n v="4.16"/>
    <m/>
    <m/>
  </r>
  <r>
    <x v="2"/>
    <s v="June"/>
    <n v="38875.51"/>
    <n v="41526.320659999998"/>
    <n v="2650.810665"/>
    <n v="6.82"/>
    <m/>
    <m/>
  </r>
  <r>
    <x v="4"/>
    <s v="October"/>
    <n v="36279.35"/>
    <n v="33736.322740000003"/>
    <n v="-2543.0272559999999"/>
    <n v="-7.01"/>
    <m/>
    <m/>
  </r>
  <r>
    <x v="3"/>
    <s v="August"/>
    <n v="40282.370000000003"/>
    <n v="40534.674099999997"/>
    <n v="252.30410409999999"/>
    <n v="0.63"/>
    <m/>
    <m/>
  </r>
  <r>
    <x v="1"/>
    <s v="November"/>
    <n v="48105.95"/>
    <n v="46366.573490000002"/>
    <n v="-1739.3765069999999"/>
    <n v="-3.62"/>
    <m/>
    <m/>
  </r>
  <r>
    <x v="2"/>
    <s v="February"/>
    <n v="46312.75"/>
    <n v="37695.405720000002"/>
    <n v="-8617.3442759999998"/>
    <n v="-18.61"/>
    <m/>
    <m/>
  </r>
  <r>
    <x v="1"/>
    <s v="February"/>
    <n v="38971.410000000003"/>
    <n v="37714.717779999999"/>
    <n v="-1256.6922239999999"/>
    <n v="-3.22"/>
    <m/>
    <m/>
  </r>
  <r>
    <x v="0"/>
    <s v="December"/>
    <n v="39966.47"/>
    <n v="31914.33785"/>
    <n v="-8052.132149"/>
    <n v="-20.149999999999999"/>
    <m/>
    <m/>
  </r>
  <r>
    <x v="4"/>
    <s v="April"/>
    <n v="15836.88"/>
    <n v="13937.295980000001"/>
    <n v="-1899.584018"/>
    <n v="-11.99"/>
    <m/>
    <m/>
  </r>
  <r>
    <x v="0"/>
    <s v="November"/>
    <n v="14111.7"/>
    <n v="15970.067999999999"/>
    <n v="1858.3679970000001"/>
    <n v="13.17"/>
    <m/>
    <m/>
  </r>
  <r>
    <x v="1"/>
    <s v="March"/>
    <n v="32836.18"/>
    <n v="34424.477989999999"/>
    <n v="1588.2979869999999"/>
    <n v="4.84"/>
    <m/>
    <m/>
  </r>
  <r>
    <x v="1"/>
    <s v="April"/>
    <n v="10734.71"/>
    <n v="13987.13558"/>
    <n v="3252.4255800000001"/>
    <n v="30.3"/>
    <m/>
    <m/>
  </r>
  <r>
    <x v="3"/>
    <s v="December"/>
    <n v="29294.26"/>
    <n v="21199.490160000001"/>
    <n v="-8094.7698410000003"/>
    <n v="-27.63"/>
    <m/>
    <m/>
  </r>
  <r>
    <x v="2"/>
    <s v="July"/>
    <n v="18413.98"/>
    <n v="21456.444909999998"/>
    <n v="3042.464911"/>
    <n v="16.52"/>
    <m/>
    <m/>
  </r>
  <r>
    <x v="2"/>
    <s v="November"/>
    <n v="23840.66"/>
    <n v="20083.62113"/>
    <n v="-3757.0388659999999"/>
    <n v="-15.76"/>
    <m/>
    <m/>
  </r>
  <r>
    <x v="0"/>
    <s v="January"/>
    <n v="41032.19"/>
    <n v="39013.108919999999"/>
    <n v="-2019.0810770000001"/>
    <n v="-4.92"/>
    <m/>
    <m/>
  </r>
  <r>
    <x v="4"/>
    <s v="June"/>
    <n v="47649.5"/>
    <n v="54809.225079999997"/>
    <n v="7159.7250780000004"/>
    <n v="15.03"/>
    <m/>
    <m/>
  </r>
  <r>
    <x v="2"/>
    <s v="March"/>
    <n v="12896.65"/>
    <n v="3077.2580830000002"/>
    <n v="-9819.3919170000008"/>
    <n v="-76.14"/>
    <m/>
    <m/>
  </r>
  <r>
    <x v="3"/>
    <s v="November"/>
    <n v="31369.69"/>
    <n v="33137.942669999997"/>
    <n v="1768.252667"/>
    <n v="5.64"/>
    <m/>
    <m/>
  </r>
  <r>
    <x v="0"/>
    <s v="October"/>
    <n v="45301.34"/>
    <n v="47275.619599999998"/>
    <n v="1974.2796020000001"/>
    <n v="4.3600000000000003"/>
    <m/>
    <m/>
  </r>
  <r>
    <x v="0"/>
    <s v="July"/>
    <n v="13300.34"/>
    <n v="11233.535529999999"/>
    <n v="-2066.8044730000001"/>
    <n v="-15.54"/>
    <m/>
    <m/>
  </r>
  <r>
    <x v="3"/>
    <s v="October"/>
    <n v="42980.56"/>
    <n v="37721.117140000002"/>
    <n v="-5259.4428580000003"/>
    <n v="-12.24"/>
    <m/>
    <m/>
  </r>
  <r>
    <x v="4"/>
    <s v="February"/>
    <n v="24312.05"/>
    <n v="19005.530770000001"/>
    <n v="-5306.5192349999998"/>
    <n v="-21.83"/>
    <m/>
    <m/>
  </r>
  <r>
    <x v="3"/>
    <s v="February"/>
    <n v="22883.79"/>
    <n v="30557.983390000001"/>
    <n v="7674.1933929999996"/>
    <n v="33.54"/>
    <m/>
    <m/>
  </r>
  <r>
    <x v="4"/>
    <s v="April"/>
    <n v="49098.66"/>
    <n v="47939.14748"/>
    <n v="-1159.512524"/>
    <n v="-2.36"/>
    <m/>
    <m/>
  </r>
  <r>
    <x v="3"/>
    <s v="January"/>
    <n v="18034.36"/>
    <n v="14652.14726"/>
    <n v="-3382.2127399999999"/>
    <n v="-18.75"/>
    <m/>
    <m/>
  </r>
  <r>
    <x v="3"/>
    <s v="March"/>
    <n v="37727.760000000002"/>
    <n v="36703.311479999997"/>
    <n v="-1024.448523"/>
    <n v="-2.72"/>
    <m/>
    <m/>
  </r>
  <r>
    <x v="1"/>
    <s v="September"/>
    <n v="42857.63"/>
    <n v="46245.438029999998"/>
    <n v="3387.8080289999998"/>
    <n v="7.9"/>
    <m/>
    <m/>
  </r>
  <r>
    <x v="0"/>
    <s v="July"/>
    <n v="11647.34"/>
    <n v="4562.4713650000003"/>
    <n v="-7084.8686349999998"/>
    <n v="-60.83"/>
    <m/>
    <m/>
  </r>
  <r>
    <x v="3"/>
    <s v="July"/>
    <n v="36815.42"/>
    <n v="35804.096700000002"/>
    <n v="-1011.323296"/>
    <n v="-2.75"/>
    <m/>
    <m/>
  </r>
  <r>
    <x v="3"/>
    <s v="November"/>
    <n v="48062"/>
    <n v="49819.687420000002"/>
    <n v="1757.687422"/>
    <n v="3.66"/>
    <m/>
    <m/>
  </r>
  <r>
    <x v="2"/>
    <s v="April"/>
    <n v="14968.8"/>
    <n v="23940.467100000002"/>
    <n v="8971.6670969999996"/>
    <n v="59.94"/>
    <m/>
    <m/>
  </r>
  <r>
    <x v="0"/>
    <s v="February"/>
    <n v="45848.85"/>
    <n v="40899.405639999997"/>
    <n v="-4949.4443579999997"/>
    <n v="-10.8"/>
    <m/>
    <m/>
  </r>
  <r>
    <x v="2"/>
    <s v="April"/>
    <n v="33791.07"/>
    <n v="30976.08496"/>
    <n v="-2814.9850419999998"/>
    <n v="-8.33"/>
    <m/>
    <m/>
  </r>
  <r>
    <x v="0"/>
    <s v="June"/>
    <n v="34664.18"/>
    <n v="32251.3518"/>
    <n v="-2412.8282020000001"/>
    <n v="-6.96"/>
    <m/>
    <m/>
  </r>
  <r>
    <x v="2"/>
    <s v="November"/>
    <n v="34517.769999999997"/>
    <n v="36628.533150000003"/>
    <n v="2110.7631529999999"/>
    <n v="6.12"/>
    <m/>
    <m/>
  </r>
  <r>
    <x v="3"/>
    <s v="November"/>
    <n v="21953.439999999999"/>
    <n v="19088.08106"/>
    <n v="-2865.3589390000002"/>
    <n v="-13.05"/>
    <m/>
    <m/>
  </r>
  <r>
    <x v="3"/>
    <s v="March"/>
    <n v="47408.07"/>
    <n v="48078.308510000003"/>
    <n v="670.23850600000003"/>
    <n v="1.41"/>
    <m/>
    <m/>
  </r>
  <r>
    <x v="1"/>
    <s v="January"/>
    <n v="47894.02"/>
    <n v="53529.8266"/>
    <n v="5635.8065969999998"/>
    <n v="11.77"/>
    <m/>
    <m/>
  </r>
  <r>
    <x v="2"/>
    <s v="December"/>
    <n v="35012.19"/>
    <n v="39119.901879999998"/>
    <n v="4107.7118819999996"/>
    <n v="11.73"/>
    <m/>
    <m/>
  </r>
  <r>
    <x v="4"/>
    <s v="August"/>
    <n v="41336.910000000003"/>
    <n v="40264.282930000001"/>
    <n v="-1072.62707"/>
    <n v="-2.59"/>
    <m/>
    <m/>
  </r>
  <r>
    <x v="1"/>
    <s v="December"/>
    <n v="34490.32"/>
    <n v="41774.643550000001"/>
    <n v="7284.3235530000002"/>
    <n v="21.12"/>
    <m/>
    <m/>
  </r>
  <r>
    <x v="2"/>
    <s v="May"/>
    <n v="29375.94"/>
    <n v="30538.744989999999"/>
    <n v="1162.8049920000001"/>
    <n v="3.96"/>
    <m/>
    <m/>
  </r>
  <r>
    <x v="2"/>
    <s v="May"/>
    <n v="36432.800000000003"/>
    <n v="37230.916790000003"/>
    <n v="798.11679000000004"/>
    <n v="2.19"/>
    <m/>
    <m/>
  </r>
  <r>
    <x v="1"/>
    <s v="November"/>
    <n v="32120.06"/>
    <n v="22803.815320000002"/>
    <n v="-9316.2446810000001"/>
    <n v="-29"/>
    <m/>
    <m/>
  </r>
  <r>
    <x v="3"/>
    <s v="April"/>
    <n v="33899.03"/>
    <n v="43632.889609999998"/>
    <n v="9733.8596070000003"/>
    <n v="28.71"/>
    <m/>
    <m/>
  </r>
  <r>
    <x v="2"/>
    <s v="June"/>
    <n v="41353.300000000003"/>
    <n v="33812.71617"/>
    <n v="-7540.5838290000002"/>
    <n v="-18.23"/>
    <m/>
    <m/>
  </r>
  <r>
    <x v="3"/>
    <s v="March"/>
    <n v="29236.15"/>
    <n v="23858.768250000001"/>
    <n v="-5377.3817509999999"/>
    <n v="-18.39"/>
    <m/>
    <m/>
  </r>
  <r>
    <x v="1"/>
    <s v="September"/>
    <n v="11630.16"/>
    <n v="2664.0967449999998"/>
    <n v="-8966.0632549999991"/>
    <n v="-77.09"/>
    <m/>
    <m/>
  </r>
  <r>
    <x v="3"/>
    <s v="May"/>
    <n v="16559.98"/>
    <n v="19360.039339999999"/>
    <n v="2800.0593370000001"/>
    <n v="16.91"/>
    <m/>
    <m/>
  </r>
  <r>
    <x v="0"/>
    <s v="March"/>
    <n v="27544.29"/>
    <n v="22038.313539999999"/>
    <n v="-5505.9764610000002"/>
    <n v="-19.989999999999998"/>
    <m/>
    <m/>
  </r>
  <r>
    <x v="4"/>
    <s v="November"/>
    <n v="38993.06"/>
    <n v="32593.268749999999"/>
    <n v="-6399.7912509999996"/>
    <n v="-16.41"/>
    <m/>
    <m/>
  </r>
  <r>
    <x v="2"/>
    <s v="January"/>
    <n v="33731.15"/>
    <n v="25502.26168"/>
    <n v="-8228.8883160000005"/>
    <n v="-24.4"/>
    <m/>
    <m/>
  </r>
  <r>
    <x v="4"/>
    <s v="October"/>
    <n v="36011.769999999997"/>
    <n v="28077.949140000001"/>
    <n v="-7933.820858"/>
    <n v="-22.03"/>
    <m/>
    <m/>
  </r>
  <r>
    <x v="3"/>
    <s v="December"/>
    <n v="29171.16"/>
    <n v="30864.57401"/>
    <n v="1693.4140090000001"/>
    <n v="5.81"/>
    <m/>
    <m/>
  </r>
  <r>
    <x v="2"/>
    <s v="June"/>
    <n v="34629.68"/>
    <n v="38393.837319999999"/>
    <n v="3764.1573170000001"/>
    <n v="10.87"/>
    <m/>
    <m/>
  </r>
  <r>
    <x v="3"/>
    <s v="February"/>
    <n v="23160.7"/>
    <n v="21108.279770000001"/>
    <n v="-2052.4202310000001"/>
    <n v="-8.86"/>
    <m/>
    <m/>
  </r>
  <r>
    <x v="0"/>
    <s v="March"/>
    <n v="28807.3"/>
    <n v="28405.24163"/>
    <n v="-402.05836820000002"/>
    <n v="-1.4"/>
    <m/>
    <m/>
  </r>
  <r>
    <x v="1"/>
    <s v="January"/>
    <n v="39771.160000000003"/>
    <n v="43490.514719999999"/>
    <n v="3719.3547199999998"/>
    <n v="9.35"/>
    <m/>
    <m/>
  </r>
  <r>
    <x v="2"/>
    <s v="September"/>
    <n v="44873.31"/>
    <n v="35220.9058"/>
    <n v="-9652.4041959999995"/>
    <n v="-21.51"/>
    <m/>
    <m/>
  </r>
  <r>
    <x v="0"/>
    <s v="August"/>
    <n v="27346.21"/>
    <n v="23808.82314"/>
    <n v="-3537.3868590000002"/>
    <n v="-12.94"/>
    <m/>
    <m/>
  </r>
  <r>
    <x v="0"/>
    <s v="December"/>
    <n v="11746.47"/>
    <n v="21208.42496"/>
    <n v="9461.9549609999995"/>
    <n v="80.55"/>
    <m/>
    <m/>
  </r>
  <r>
    <x v="2"/>
    <s v="February"/>
    <n v="16466.900000000001"/>
    <n v="18069.14459"/>
    <n v="1602.244594"/>
    <n v="9.73"/>
    <m/>
    <m/>
  </r>
  <r>
    <x v="3"/>
    <s v="December"/>
    <n v="10834.45"/>
    <n v="5918.9415980000003"/>
    <n v="-4915.5084020000004"/>
    <n v="-45.37"/>
    <m/>
    <m/>
  </r>
  <r>
    <x v="0"/>
    <s v="November"/>
    <n v="36130.519999999997"/>
    <n v="36565.120929999997"/>
    <n v="434.60093269999999"/>
    <n v="1.2"/>
    <m/>
    <m/>
  </r>
  <r>
    <x v="4"/>
    <s v="August"/>
    <n v="23292.59"/>
    <n v="20145.659759999999"/>
    <n v="-3146.9302379999999"/>
    <n v="-13.51"/>
    <m/>
    <m/>
  </r>
  <r>
    <x v="0"/>
    <s v="December"/>
    <n v="31699.15"/>
    <n v="32344.049780000001"/>
    <n v="644.89977650000003"/>
    <n v="2.0299999999999998"/>
    <m/>
    <m/>
  </r>
  <r>
    <x v="3"/>
    <s v="September"/>
    <n v="29731.07"/>
    <n v="22245.900239999999"/>
    <n v="-7485.1697640000002"/>
    <n v="-25.18"/>
    <m/>
    <m/>
  </r>
  <r>
    <x v="3"/>
    <s v="January"/>
    <n v="13261.06"/>
    <n v="5915.3530760000003"/>
    <n v="-7345.7069240000001"/>
    <n v="-55.39"/>
    <m/>
    <m/>
  </r>
  <r>
    <x v="4"/>
    <s v="May"/>
    <n v="26130.45"/>
    <n v="19001.29724"/>
    <n v="-7129.1527589999996"/>
    <n v="-27.28"/>
    <m/>
    <m/>
  </r>
  <r>
    <x v="0"/>
    <s v="August"/>
    <n v="18822.439999999999"/>
    <n v="27618.83584"/>
    <n v="8796.3958390000007"/>
    <n v="46.73"/>
    <m/>
    <m/>
  </r>
  <r>
    <x v="3"/>
    <s v="November"/>
    <n v="26735.99"/>
    <n v="31393.968369999999"/>
    <n v="4657.9783669999997"/>
    <n v="17.420000000000002"/>
    <m/>
    <m/>
  </r>
  <r>
    <x v="2"/>
    <s v="February"/>
    <n v="18143.13"/>
    <n v="11390.767889999999"/>
    <n v="-6752.3621069999999"/>
    <n v="-37.22"/>
    <m/>
    <m/>
  </r>
  <r>
    <x v="1"/>
    <s v="April"/>
    <n v="43618.1"/>
    <n v="37385.081680000003"/>
    <n v="-6233.018325"/>
    <n v="-14.29"/>
    <m/>
    <m/>
  </r>
  <r>
    <x v="1"/>
    <s v="July"/>
    <n v="16967.73"/>
    <n v="21584.319500000001"/>
    <n v="4616.5894969999999"/>
    <n v="27.21"/>
    <m/>
    <m/>
  </r>
  <r>
    <x v="1"/>
    <s v="March"/>
    <n v="48431.22"/>
    <n v="41554.496899999998"/>
    <n v="-6876.7231039999997"/>
    <n v="-14.2"/>
    <m/>
    <m/>
  </r>
  <r>
    <x v="0"/>
    <s v="December"/>
    <n v="26636.29"/>
    <n v="21327.515869999999"/>
    <n v="-5308.7741329999999"/>
    <n v="-19.93"/>
    <m/>
    <m/>
  </r>
  <r>
    <x v="4"/>
    <s v="May"/>
    <n v="43849.81"/>
    <n v="53116.746659999997"/>
    <n v="9266.9366559999999"/>
    <n v="21.13"/>
    <m/>
    <m/>
  </r>
  <r>
    <x v="3"/>
    <s v="August"/>
    <n v="35150.589999999997"/>
    <n v="30256.72049"/>
    <n v="-4893.8695049999997"/>
    <n v="-13.92"/>
    <m/>
    <m/>
  </r>
  <r>
    <x v="2"/>
    <s v="December"/>
    <n v="39414.01"/>
    <n v="42646.657010000003"/>
    <n v="3232.647007"/>
    <n v="8.1999999999999993"/>
    <m/>
    <m/>
  </r>
  <r>
    <x v="2"/>
    <s v="October"/>
    <n v="40708.959999999999"/>
    <n v="50281.585749999998"/>
    <n v="9572.6257480000004"/>
    <n v="23.51"/>
    <m/>
    <m/>
  </r>
  <r>
    <x v="0"/>
    <s v="March"/>
    <n v="30193.8"/>
    <n v="27679.735339999999"/>
    <n v="-2514.0646569999999"/>
    <n v="-8.33"/>
    <m/>
    <m/>
  </r>
  <r>
    <x v="1"/>
    <s v="April"/>
    <n v="31732.02"/>
    <n v="22082.339820000001"/>
    <n v="-9649.6801830000004"/>
    <n v="-30.41"/>
    <m/>
    <m/>
  </r>
  <r>
    <x v="0"/>
    <s v="September"/>
    <n v="30559.83"/>
    <n v="25442.775809999999"/>
    <n v="-5117.0541919999996"/>
    <n v="-16.739999999999998"/>
    <m/>
    <m/>
  </r>
  <r>
    <x v="4"/>
    <s v="July"/>
    <n v="33522.339999999997"/>
    <n v="40139.883829999999"/>
    <n v="6617.5438270000004"/>
    <n v="19.739999999999998"/>
    <m/>
    <m/>
  </r>
  <r>
    <x v="4"/>
    <s v="January"/>
    <n v="11175.78"/>
    <n v="18467.956719999998"/>
    <n v="7292.176719"/>
    <n v="65.25"/>
    <m/>
    <m/>
  </r>
  <r>
    <x v="3"/>
    <s v="December"/>
    <n v="25820.61"/>
    <n v="31190.997289999999"/>
    <n v="5370.3872899999997"/>
    <n v="20.8"/>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19901.599999999999"/>
    <n v="22025.37427"/>
    <n v="2123.7742710000002"/>
    <x v="0"/>
  </r>
  <r>
    <x v="1"/>
    <x v="1"/>
    <n v="32336.51"/>
    <n v="34290.981310000003"/>
    <n v="1954.471305"/>
    <x v="1"/>
  </r>
  <r>
    <x v="2"/>
    <x v="1"/>
    <n v="19021.61"/>
    <n v="24880.731889999999"/>
    <n v="5859.1218920000001"/>
    <x v="2"/>
  </r>
  <r>
    <x v="2"/>
    <x v="1"/>
    <n v="16433.02"/>
    <n v="19533.20678"/>
    <n v="3100.1867769999999"/>
    <x v="3"/>
  </r>
  <r>
    <x v="3"/>
    <x v="2"/>
    <n v="36060.78"/>
    <n v="45903.446329999999"/>
    <n v="9842.6663270000008"/>
    <x v="4"/>
  </r>
  <r>
    <x v="3"/>
    <x v="1"/>
    <n v="23037.02"/>
    <n v="18714.110570000001"/>
    <n v="-4322.9094279999999"/>
    <x v="5"/>
  </r>
  <r>
    <x v="1"/>
    <x v="3"/>
    <n v="33610.559999999998"/>
    <n v="30793.580590000001"/>
    <n v="-2816.9794069999998"/>
    <x v="6"/>
  </r>
  <r>
    <x v="1"/>
    <x v="4"/>
    <n v="27329.87"/>
    <n v="25006.813040000001"/>
    <n v="-2323.056963"/>
    <x v="7"/>
  </r>
  <r>
    <x v="4"/>
    <x v="5"/>
    <n v="49374.06"/>
    <n v="48690.316140000003"/>
    <n v="-683.74385959999995"/>
    <x v="8"/>
  </r>
  <r>
    <x v="3"/>
    <x v="0"/>
    <n v="15983.23"/>
    <n v="22703.191279999999"/>
    <n v="6719.961276"/>
    <x v="9"/>
  </r>
  <r>
    <x v="0"/>
    <x v="4"/>
    <n v="28583.94"/>
    <n v="23299.781879999999"/>
    <n v="-5284.1581210000004"/>
    <x v="10"/>
  </r>
  <r>
    <x v="2"/>
    <x v="6"/>
    <n v="37218.269999999997"/>
    <n v="42738.274140000001"/>
    <n v="5520.0041410000003"/>
    <x v="11"/>
  </r>
  <r>
    <x v="1"/>
    <x v="0"/>
    <n v="25821.8"/>
    <n v="23928.003659999998"/>
    <n v="-1893.7963380000001"/>
    <x v="12"/>
  </r>
  <r>
    <x v="2"/>
    <x v="4"/>
    <n v="48987.99"/>
    <n v="51025.097670000003"/>
    <n v="2037.107673"/>
    <x v="13"/>
  </r>
  <r>
    <x v="2"/>
    <x v="0"/>
    <n v="38875.51"/>
    <n v="41526.320659999998"/>
    <n v="2650.810665"/>
    <x v="14"/>
  </r>
  <r>
    <x v="4"/>
    <x v="6"/>
    <n v="36279.35"/>
    <n v="33736.322740000003"/>
    <n v="-2543.0272559999999"/>
    <x v="15"/>
  </r>
  <r>
    <x v="3"/>
    <x v="7"/>
    <n v="40282.370000000003"/>
    <n v="40534.674099999997"/>
    <n v="252.30410409999999"/>
    <x v="16"/>
  </r>
  <r>
    <x v="1"/>
    <x v="3"/>
    <n v="48105.95"/>
    <n v="46366.573490000002"/>
    <n v="-1739.3765069999999"/>
    <x v="17"/>
  </r>
  <r>
    <x v="2"/>
    <x v="2"/>
    <n v="46312.75"/>
    <n v="37695.405720000002"/>
    <n v="-8617.3442759999998"/>
    <x v="18"/>
  </r>
  <r>
    <x v="1"/>
    <x v="2"/>
    <n v="38971.410000000003"/>
    <n v="37714.717779999999"/>
    <n v="-1256.6922239999999"/>
    <x v="19"/>
  </r>
  <r>
    <x v="0"/>
    <x v="5"/>
    <n v="39966.47"/>
    <n v="31914.33785"/>
    <n v="-8052.132149"/>
    <x v="20"/>
  </r>
  <r>
    <x v="4"/>
    <x v="1"/>
    <n v="15836.88"/>
    <n v="13937.295980000001"/>
    <n v="-1899.584018"/>
    <x v="21"/>
  </r>
  <r>
    <x v="0"/>
    <x v="3"/>
    <n v="14111.7"/>
    <n v="15970.067999999999"/>
    <n v="1858.3679970000001"/>
    <x v="22"/>
  </r>
  <r>
    <x v="1"/>
    <x v="8"/>
    <n v="32836.18"/>
    <n v="34424.477989999999"/>
    <n v="1588.2979869999999"/>
    <x v="23"/>
  </r>
  <r>
    <x v="1"/>
    <x v="1"/>
    <n v="10734.71"/>
    <n v="13987.13558"/>
    <n v="3252.4255800000001"/>
    <x v="24"/>
  </r>
  <r>
    <x v="3"/>
    <x v="5"/>
    <n v="29294.26"/>
    <n v="21199.490160000001"/>
    <n v="-8094.7698410000003"/>
    <x v="25"/>
  </r>
  <r>
    <x v="2"/>
    <x v="9"/>
    <n v="18413.98"/>
    <n v="21456.444909999998"/>
    <n v="3042.464911"/>
    <x v="26"/>
  </r>
  <r>
    <x v="2"/>
    <x v="3"/>
    <n v="23840.66"/>
    <n v="20083.62113"/>
    <n v="-3757.0388659999999"/>
    <x v="27"/>
  </r>
  <r>
    <x v="0"/>
    <x v="4"/>
    <n v="41032.19"/>
    <n v="39013.108919999999"/>
    <n v="-2019.0810770000001"/>
    <x v="28"/>
  </r>
  <r>
    <x v="4"/>
    <x v="0"/>
    <n v="47649.5"/>
    <n v="54809.225079999997"/>
    <n v="7159.7250780000004"/>
    <x v="29"/>
  </r>
  <r>
    <x v="2"/>
    <x v="8"/>
    <n v="12896.65"/>
    <n v="3077.2580830000002"/>
    <n v="-9819.3919170000008"/>
    <x v="30"/>
  </r>
  <r>
    <x v="3"/>
    <x v="3"/>
    <n v="31369.69"/>
    <n v="33137.942669999997"/>
    <n v="1768.252667"/>
    <x v="31"/>
  </r>
  <r>
    <x v="0"/>
    <x v="6"/>
    <n v="45301.34"/>
    <n v="47275.619599999998"/>
    <n v="1974.2796020000001"/>
    <x v="32"/>
  </r>
  <r>
    <x v="0"/>
    <x v="9"/>
    <n v="13300.34"/>
    <n v="11233.535529999999"/>
    <n v="-2066.8044730000001"/>
    <x v="33"/>
  </r>
  <r>
    <x v="3"/>
    <x v="6"/>
    <n v="42980.56"/>
    <n v="37721.117140000002"/>
    <n v="-5259.4428580000003"/>
    <x v="34"/>
  </r>
  <r>
    <x v="4"/>
    <x v="2"/>
    <n v="24312.05"/>
    <n v="19005.530770000001"/>
    <n v="-5306.5192349999998"/>
    <x v="35"/>
  </r>
  <r>
    <x v="3"/>
    <x v="2"/>
    <n v="22883.79"/>
    <n v="30557.983390000001"/>
    <n v="7674.1933929999996"/>
    <x v="36"/>
  </r>
  <r>
    <x v="4"/>
    <x v="1"/>
    <n v="49098.66"/>
    <n v="47939.14748"/>
    <n v="-1159.512524"/>
    <x v="37"/>
  </r>
  <r>
    <x v="3"/>
    <x v="4"/>
    <n v="18034.36"/>
    <n v="14652.14726"/>
    <n v="-3382.2127399999999"/>
    <x v="38"/>
  </r>
  <r>
    <x v="3"/>
    <x v="8"/>
    <n v="37727.760000000002"/>
    <n v="36703.311479999997"/>
    <n v="-1024.448523"/>
    <x v="39"/>
  </r>
  <r>
    <x v="1"/>
    <x v="10"/>
    <n v="42857.63"/>
    <n v="46245.438029999998"/>
    <n v="3387.8080289999998"/>
    <x v="40"/>
  </r>
  <r>
    <x v="0"/>
    <x v="9"/>
    <n v="11647.34"/>
    <n v="4562.4713650000003"/>
    <n v="-7084.8686349999998"/>
    <x v="41"/>
  </r>
  <r>
    <x v="3"/>
    <x v="9"/>
    <n v="36815.42"/>
    <n v="35804.096700000002"/>
    <n v="-1011.323296"/>
    <x v="42"/>
  </r>
  <r>
    <x v="3"/>
    <x v="3"/>
    <n v="48062"/>
    <n v="49819.687420000002"/>
    <n v="1757.687422"/>
    <x v="43"/>
  </r>
  <r>
    <x v="2"/>
    <x v="1"/>
    <n v="14968.8"/>
    <n v="23940.467100000002"/>
    <n v="8971.6670969999996"/>
    <x v="44"/>
  </r>
  <r>
    <x v="0"/>
    <x v="2"/>
    <n v="45848.85"/>
    <n v="40899.405639999997"/>
    <n v="-4949.4443579999997"/>
    <x v="45"/>
  </r>
  <r>
    <x v="2"/>
    <x v="1"/>
    <n v="33791.07"/>
    <n v="30976.08496"/>
    <n v="-2814.9850419999998"/>
    <x v="46"/>
  </r>
  <r>
    <x v="0"/>
    <x v="0"/>
    <n v="34664.18"/>
    <n v="32251.3518"/>
    <n v="-2412.8282020000001"/>
    <x v="47"/>
  </r>
  <r>
    <x v="2"/>
    <x v="3"/>
    <n v="34517.769999999997"/>
    <n v="36628.533150000003"/>
    <n v="2110.7631529999999"/>
    <x v="48"/>
  </r>
  <r>
    <x v="3"/>
    <x v="3"/>
    <n v="21953.439999999999"/>
    <n v="19088.08106"/>
    <n v="-2865.3589390000002"/>
    <x v="49"/>
  </r>
  <r>
    <x v="3"/>
    <x v="8"/>
    <n v="47408.07"/>
    <n v="48078.308510000003"/>
    <n v="670.23850600000003"/>
    <x v="50"/>
  </r>
  <r>
    <x v="1"/>
    <x v="4"/>
    <n v="47894.02"/>
    <n v="53529.8266"/>
    <n v="5635.8065969999998"/>
    <x v="51"/>
  </r>
  <r>
    <x v="2"/>
    <x v="5"/>
    <n v="35012.19"/>
    <n v="39119.901879999998"/>
    <n v="4107.7118819999996"/>
    <x v="52"/>
  </r>
  <r>
    <x v="4"/>
    <x v="7"/>
    <n v="41336.910000000003"/>
    <n v="40264.282930000001"/>
    <n v="-1072.62707"/>
    <x v="53"/>
  </r>
  <r>
    <x v="1"/>
    <x v="5"/>
    <n v="34490.32"/>
    <n v="41774.643550000001"/>
    <n v="7284.3235530000002"/>
    <x v="54"/>
  </r>
  <r>
    <x v="2"/>
    <x v="11"/>
    <n v="29375.94"/>
    <n v="30538.744989999999"/>
    <n v="1162.8049920000001"/>
    <x v="55"/>
  </r>
  <r>
    <x v="2"/>
    <x v="11"/>
    <n v="36432.800000000003"/>
    <n v="37230.916790000003"/>
    <n v="798.11679000000004"/>
    <x v="56"/>
  </r>
  <r>
    <x v="1"/>
    <x v="3"/>
    <n v="32120.06"/>
    <n v="22803.815320000002"/>
    <n v="-9316.2446810000001"/>
    <x v="57"/>
  </r>
  <r>
    <x v="3"/>
    <x v="1"/>
    <n v="33899.03"/>
    <n v="43632.889609999998"/>
    <n v="9733.8596070000003"/>
    <x v="58"/>
  </r>
  <r>
    <x v="2"/>
    <x v="0"/>
    <n v="41353.300000000003"/>
    <n v="33812.71617"/>
    <n v="-7540.5838290000002"/>
    <x v="59"/>
  </r>
  <r>
    <x v="3"/>
    <x v="8"/>
    <n v="29236.15"/>
    <n v="23858.768250000001"/>
    <n v="-5377.3817509999999"/>
    <x v="60"/>
  </r>
  <r>
    <x v="1"/>
    <x v="10"/>
    <n v="11630.16"/>
    <n v="2664.0967449999998"/>
    <n v="-8966.0632549999991"/>
    <x v="61"/>
  </r>
  <r>
    <x v="3"/>
    <x v="11"/>
    <n v="16559.98"/>
    <n v="19360.039339999999"/>
    <n v="2800.0593370000001"/>
    <x v="62"/>
  </r>
  <r>
    <x v="0"/>
    <x v="8"/>
    <n v="27544.29"/>
    <n v="22038.313539999999"/>
    <n v="-5505.9764610000002"/>
    <x v="63"/>
  </r>
  <r>
    <x v="4"/>
    <x v="3"/>
    <n v="38993.06"/>
    <n v="32593.268749999999"/>
    <n v="-6399.7912509999996"/>
    <x v="64"/>
  </r>
  <r>
    <x v="2"/>
    <x v="4"/>
    <n v="33731.15"/>
    <n v="25502.26168"/>
    <n v="-8228.8883160000005"/>
    <x v="65"/>
  </r>
  <r>
    <x v="4"/>
    <x v="6"/>
    <n v="36011.769999999997"/>
    <n v="28077.949140000001"/>
    <n v="-7933.820858"/>
    <x v="66"/>
  </r>
  <r>
    <x v="3"/>
    <x v="5"/>
    <n v="29171.16"/>
    <n v="30864.57401"/>
    <n v="1693.4140090000001"/>
    <x v="67"/>
  </r>
  <r>
    <x v="2"/>
    <x v="0"/>
    <n v="34629.68"/>
    <n v="38393.837319999999"/>
    <n v="3764.1573170000001"/>
    <x v="68"/>
  </r>
  <r>
    <x v="3"/>
    <x v="2"/>
    <n v="23160.7"/>
    <n v="21108.279770000001"/>
    <n v="-2052.4202310000001"/>
    <x v="69"/>
  </r>
  <r>
    <x v="0"/>
    <x v="8"/>
    <n v="28807.3"/>
    <n v="28405.24163"/>
    <n v="-402.05836820000002"/>
    <x v="70"/>
  </r>
  <r>
    <x v="1"/>
    <x v="4"/>
    <n v="39771.160000000003"/>
    <n v="43490.514719999999"/>
    <n v="3719.3547199999998"/>
    <x v="71"/>
  </r>
  <r>
    <x v="2"/>
    <x v="10"/>
    <n v="44873.31"/>
    <n v="35220.9058"/>
    <n v="-9652.4041959999995"/>
    <x v="72"/>
  </r>
  <r>
    <x v="0"/>
    <x v="7"/>
    <n v="27346.21"/>
    <n v="23808.82314"/>
    <n v="-3537.3868590000002"/>
    <x v="73"/>
  </r>
  <r>
    <x v="0"/>
    <x v="5"/>
    <n v="11746.47"/>
    <n v="21208.42496"/>
    <n v="9461.9549609999995"/>
    <x v="74"/>
  </r>
  <r>
    <x v="2"/>
    <x v="2"/>
    <n v="16466.900000000001"/>
    <n v="18069.14459"/>
    <n v="1602.244594"/>
    <x v="75"/>
  </r>
  <r>
    <x v="3"/>
    <x v="5"/>
    <n v="10834.45"/>
    <n v="5918.9415980000003"/>
    <n v="-4915.5084020000004"/>
    <x v="76"/>
  </r>
  <r>
    <x v="0"/>
    <x v="3"/>
    <n v="36130.519999999997"/>
    <n v="36565.120929999997"/>
    <n v="434.60093269999999"/>
    <x v="77"/>
  </r>
  <r>
    <x v="4"/>
    <x v="7"/>
    <n v="23292.59"/>
    <n v="20145.659759999999"/>
    <n v="-3146.9302379999999"/>
    <x v="78"/>
  </r>
  <r>
    <x v="0"/>
    <x v="5"/>
    <n v="31699.15"/>
    <n v="32344.049780000001"/>
    <n v="644.89977650000003"/>
    <x v="79"/>
  </r>
  <r>
    <x v="3"/>
    <x v="10"/>
    <n v="29731.07"/>
    <n v="22245.900239999999"/>
    <n v="-7485.1697640000002"/>
    <x v="80"/>
  </r>
  <r>
    <x v="3"/>
    <x v="4"/>
    <n v="13261.06"/>
    <n v="5915.3530760000003"/>
    <n v="-7345.7069240000001"/>
    <x v="81"/>
  </r>
  <r>
    <x v="4"/>
    <x v="11"/>
    <n v="26130.45"/>
    <n v="19001.29724"/>
    <n v="-7129.1527589999996"/>
    <x v="82"/>
  </r>
  <r>
    <x v="0"/>
    <x v="7"/>
    <n v="18822.439999999999"/>
    <n v="27618.83584"/>
    <n v="8796.3958390000007"/>
    <x v="83"/>
  </r>
  <r>
    <x v="3"/>
    <x v="3"/>
    <n v="26735.99"/>
    <n v="31393.968369999999"/>
    <n v="4657.9783669999997"/>
    <x v="84"/>
  </r>
  <r>
    <x v="2"/>
    <x v="2"/>
    <n v="18143.13"/>
    <n v="11390.767889999999"/>
    <n v="-6752.3621069999999"/>
    <x v="85"/>
  </r>
  <r>
    <x v="1"/>
    <x v="1"/>
    <n v="43618.1"/>
    <n v="37385.081680000003"/>
    <n v="-6233.018325"/>
    <x v="86"/>
  </r>
  <r>
    <x v="1"/>
    <x v="9"/>
    <n v="16967.73"/>
    <n v="21584.319500000001"/>
    <n v="4616.5894969999999"/>
    <x v="87"/>
  </r>
  <r>
    <x v="1"/>
    <x v="8"/>
    <n v="48431.22"/>
    <n v="41554.496899999998"/>
    <n v="-6876.7231039999997"/>
    <x v="88"/>
  </r>
  <r>
    <x v="0"/>
    <x v="5"/>
    <n v="26636.29"/>
    <n v="21327.515869999999"/>
    <n v="-5308.7741329999999"/>
    <x v="89"/>
  </r>
  <r>
    <x v="4"/>
    <x v="11"/>
    <n v="43849.81"/>
    <n v="53116.746659999997"/>
    <n v="9266.9366559999999"/>
    <x v="90"/>
  </r>
  <r>
    <x v="3"/>
    <x v="7"/>
    <n v="35150.589999999997"/>
    <n v="30256.72049"/>
    <n v="-4893.8695049999997"/>
    <x v="91"/>
  </r>
  <r>
    <x v="2"/>
    <x v="5"/>
    <n v="39414.01"/>
    <n v="42646.657010000003"/>
    <n v="3232.647007"/>
    <x v="92"/>
  </r>
  <r>
    <x v="2"/>
    <x v="6"/>
    <n v="40708.959999999999"/>
    <n v="50281.585749999998"/>
    <n v="9572.6257480000004"/>
    <x v="93"/>
  </r>
  <r>
    <x v="0"/>
    <x v="8"/>
    <n v="30193.8"/>
    <n v="27679.735339999999"/>
    <n v="-2514.0646569999999"/>
    <x v="46"/>
  </r>
  <r>
    <x v="1"/>
    <x v="1"/>
    <n v="31732.02"/>
    <n v="22082.339820000001"/>
    <n v="-9649.6801830000004"/>
    <x v="94"/>
  </r>
  <r>
    <x v="0"/>
    <x v="10"/>
    <n v="30559.83"/>
    <n v="25442.775809999999"/>
    <n v="-5117.0541919999996"/>
    <x v="95"/>
  </r>
  <r>
    <x v="4"/>
    <x v="9"/>
    <n v="33522.339999999997"/>
    <n v="40139.883829999999"/>
    <n v="6617.5438270000004"/>
    <x v="96"/>
  </r>
  <r>
    <x v="4"/>
    <x v="4"/>
    <n v="11175.78"/>
    <n v="18467.956719999998"/>
    <n v="7292.176719"/>
    <x v="97"/>
  </r>
  <r>
    <x v="3"/>
    <x v="5"/>
    <n v="25820.61"/>
    <n v="31190.997289999999"/>
    <n v="5370.3872899999997"/>
    <x v="9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19901.599999999999"/>
    <n v="22025.37427"/>
    <n v="2123.7742710000002"/>
    <n v="10.67"/>
    <x v="0"/>
  </r>
  <r>
    <x v="1"/>
    <x v="1"/>
    <n v="32336.51"/>
    <n v="34290.981310000003"/>
    <n v="1954.471305"/>
    <n v="6.04"/>
    <x v="0"/>
  </r>
  <r>
    <x v="2"/>
    <x v="1"/>
    <n v="19021.61"/>
    <n v="24880.731889999999"/>
    <n v="5859.1218920000001"/>
    <n v="30.8"/>
    <x v="0"/>
  </r>
  <r>
    <x v="2"/>
    <x v="1"/>
    <n v="16433.02"/>
    <n v="19533.20678"/>
    <n v="3100.1867769999999"/>
    <n v="18.87"/>
    <x v="0"/>
  </r>
  <r>
    <x v="3"/>
    <x v="2"/>
    <n v="36060.78"/>
    <n v="45903.446329999999"/>
    <n v="9842.6663270000008"/>
    <n v="27.29"/>
    <x v="0"/>
  </r>
  <r>
    <x v="3"/>
    <x v="1"/>
    <n v="23037.02"/>
    <n v="18714.110570000001"/>
    <n v="-4322.9094279999999"/>
    <n v="-18.77"/>
    <x v="1"/>
  </r>
  <r>
    <x v="1"/>
    <x v="3"/>
    <n v="33610.559999999998"/>
    <n v="30793.580590000001"/>
    <n v="-2816.9794069999998"/>
    <n v="-8.3800000000000008"/>
    <x v="2"/>
  </r>
  <r>
    <x v="1"/>
    <x v="4"/>
    <n v="27329.87"/>
    <n v="25006.813040000001"/>
    <n v="-2323.056963"/>
    <n v="-8.5"/>
    <x v="2"/>
  </r>
  <r>
    <x v="4"/>
    <x v="5"/>
    <n v="49374.06"/>
    <n v="48690.316140000003"/>
    <n v="-683.74385959999995"/>
    <n v="-1.38"/>
    <x v="3"/>
  </r>
  <r>
    <x v="3"/>
    <x v="0"/>
    <n v="15983.23"/>
    <n v="22703.191279999999"/>
    <n v="6719.961276"/>
    <n v="42.04"/>
    <x v="0"/>
  </r>
  <r>
    <x v="0"/>
    <x v="4"/>
    <n v="28583.94"/>
    <n v="23299.781879999999"/>
    <n v="-5284.1581210000004"/>
    <n v="-18.489999999999998"/>
    <x v="1"/>
  </r>
  <r>
    <x v="2"/>
    <x v="6"/>
    <n v="37218.269999999997"/>
    <n v="42738.274140000001"/>
    <n v="5520.0041410000003"/>
    <n v="14.83"/>
    <x v="0"/>
  </r>
  <r>
    <x v="1"/>
    <x v="0"/>
    <n v="25821.8"/>
    <n v="23928.003659999998"/>
    <n v="-1893.7963380000001"/>
    <n v="-7.33"/>
    <x v="2"/>
  </r>
  <r>
    <x v="2"/>
    <x v="4"/>
    <n v="48987.99"/>
    <n v="51025.097670000003"/>
    <n v="2037.107673"/>
    <n v="4.16"/>
    <x v="3"/>
  </r>
  <r>
    <x v="2"/>
    <x v="0"/>
    <n v="38875.51"/>
    <n v="41526.320659999998"/>
    <n v="2650.810665"/>
    <n v="6.82"/>
    <x v="0"/>
  </r>
  <r>
    <x v="4"/>
    <x v="6"/>
    <n v="36279.35"/>
    <n v="33736.322740000003"/>
    <n v="-2543.0272559999999"/>
    <n v="-7.01"/>
    <x v="2"/>
  </r>
  <r>
    <x v="3"/>
    <x v="7"/>
    <n v="40282.370000000003"/>
    <n v="40534.674099999997"/>
    <n v="252.30410409999999"/>
    <n v="0.63"/>
    <x v="3"/>
  </r>
  <r>
    <x v="1"/>
    <x v="3"/>
    <n v="48105.95"/>
    <n v="46366.573490000002"/>
    <n v="-1739.3765069999999"/>
    <n v="-3.62"/>
    <x v="3"/>
  </r>
  <r>
    <x v="2"/>
    <x v="2"/>
    <n v="46312.75"/>
    <n v="37695.405720000002"/>
    <n v="-8617.3442759999998"/>
    <n v="-18.61"/>
    <x v="1"/>
  </r>
  <r>
    <x v="1"/>
    <x v="2"/>
    <n v="38971.410000000003"/>
    <n v="37714.717779999999"/>
    <n v="-1256.6922239999999"/>
    <n v="-3.22"/>
    <x v="3"/>
  </r>
  <r>
    <x v="0"/>
    <x v="5"/>
    <n v="39966.47"/>
    <n v="31914.33785"/>
    <n v="-8052.132149"/>
    <n v="-20.149999999999999"/>
    <x v="1"/>
  </r>
  <r>
    <x v="4"/>
    <x v="1"/>
    <n v="15836.88"/>
    <n v="13937.295980000001"/>
    <n v="-1899.584018"/>
    <n v="-11.99"/>
    <x v="1"/>
  </r>
  <r>
    <x v="0"/>
    <x v="3"/>
    <n v="14111.7"/>
    <n v="15970.067999999999"/>
    <n v="1858.3679970000001"/>
    <n v="13.17"/>
    <x v="0"/>
  </r>
  <r>
    <x v="1"/>
    <x v="8"/>
    <n v="32836.18"/>
    <n v="34424.477989999999"/>
    <n v="1588.2979869999999"/>
    <n v="4.84"/>
    <x v="3"/>
  </r>
  <r>
    <x v="1"/>
    <x v="1"/>
    <n v="10734.71"/>
    <n v="13987.13558"/>
    <n v="3252.4255800000001"/>
    <n v="30.3"/>
    <x v="0"/>
  </r>
  <r>
    <x v="3"/>
    <x v="5"/>
    <n v="29294.26"/>
    <n v="21199.490160000001"/>
    <n v="-8094.7698410000003"/>
    <n v="-27.63"/>
    <x v="1"/>
  </r>
  <r>
    <x v="2"/>
    <x v="9"/>
    <n v="18413.98"/>
    <n v="21456.444909999998"/>
    <n v="3042.464911"/>
    <n v="16.52"/>
    <x v="0"/>
  </r>
  <r>
    <x v="2"/>
    <x v="3"/>
    <n v="23840.66"/>
    <n v="20083.62113"/>
    <n v="-3757.0388659999999"/>
    <n v="-15.76"/>
    <x v="1"/>
  </r>
  <r>
    <x v="0"/>
    <x v="4"/>
    <n v="41032.19"/>
    <n v="39013.108919999999"/>
    <n v="-2019.0810770000001"/>
    <n v="-4.92"/>
    <x v="3"/>
  </r>
  <r>
    <x v="4"/>
    <x v="0"/>
    <n v="47649.5"/>
    <n v="54809.225079999997"/>
    <n v="7159.7250780000004"/>
    <n v="15.03"/>
    <x v="0"/>
  </r>
  <r>
    <x v="2"/>
    <x v="8"/>
    <n v="12896.65"/>
    <n v="3077.2580830000002"/>
    <n v="-9819.3919170000008"/>
    <n v="-76.14"/>
    <x v="1"/>
  </r>
  <r>
    <x v="3"/>
    <x v="3"/>
    <n v="31369.69"/>
    <n v="33137.942669999997"/>
    <n v="1768.252667"/>
    <n v="5.64"/>
    <x v="0"/>
  </r>
  <r>
    <x v="0"/>
    <x v="6"/>
    <n v="45301.34"/>
    <n v="47275.619599999998"/>
    <n v="1974.2796020000001"/>
    <n v="4.3600000000000003"/>
    <x v="3"/>
  </r>
  <r>
    <x v="0"/>
    <x v="9"/>
    <n v="13300.34"/>
    <n v="11233.535529999999"/>
    <n v="-2066.8044730000001"/>
    <n v="-15.54"/>
    <x v="1"/>
  </r>
  <r>
    <x v="3"/>
    <x v="6"/>
    <n v="42980.56"/>
    <n v="37721.117140000002"/>
    <n v="-5259.4428580000003"/>
    <n v="-12.24"/>
    <x v="1"/>
  </r>
  <r>
    <x v="4"/>
    <x v="2"/>
    <n v="24312.05"/>
    <n v="19005.530770000001"/>
    <n v="-5306.5192349999998"/>
    <n v="-21.83"/>
    <x v="1"/>
  </r>
  <r>
    <x v="3"/>
    <x v="2"/>
    <n v="22883.79"/>
    <n v="30557.983390000001"/>
    <n v="7674.1933929999996"/>
    <n v="33.54"/>
    <x v="0"/>
  </r>
  <r>
    <x v="4"/>
    <x v="1"/>
    <n v="49098.66"/>
    <n v="47939.14748"/>
    <n v="-1159.512524"/>
    <n v="-2.36"/>
    <x v="3"/>
  </r>
  <r>
    <x v="3"/>
    <x v="4"/>
    <n v="18034.36"/>
    <n v="14652.14726"/>
    <n v="-3382.2127399999999"/>
    <n v="-18.75"/>
    <x v="1"/>
  </r>
  <r>
    <x v="3"/>
    <x v="8"/>
    <n v="37727.760000000002"/>
    <n v="36703.311479999997"/>
    <n v="-1024.448523"/>
    <n v="-2.72"/>
    <x v="3"/>
  </r>
  <r>
    <x v="1"/>
    <x v="10"/>
    <n v="42857.63"/>
    <n v="46245.438029999998"/>
    <n v="3387.8080289999998"/>
    <n v="7.9"/>
    <x v="0"/>
  </r>
  <r>
    <x v="0"/>
    <x v="9"/>
    <n v="11647.34"/>
    <n v="4562.4713650000003"/>
    <n v="-7084.8686349999998"/>
    <n v="-60.83"/>
    <x v="1"/>
  </r>
  <r>
    <x v="3"/>
    <x v="9"/>
    <n v="36815.42"/>
    <n v="35804.096700000002"/>
    <n v="-1011.323296"/>
    <n v="-2.75"/>
    <x v="3"/>
  </r>
  <r>
    <x v="3"/>
    <x v="3"/>
    <n v="48062"/>
    <n v="49819.687420000002"/>
    <n v="1757.687422"/>
    <n v="3.66"/>
    <x v="3"/>
  </r>
  <r>
    <x v="2"/>
    <x v="1"/>
    <n v="14968.8"/>
    <n v="23940.467100000002"/>
    <n v="8971.6670969999996"/>
    <n v="59.94"/>
    <x v="0"/>
  </r>
  <r>
    <x v="0"/>
    <x v="2"/>
    <n v="45848.85"/>
    <n v="40899.405639999997"/>
    <n v="-4949.4443579999997"/>
    <n v="-10.8"/>
    <x v="1"/>
  </r>
  <r>
    <x v="2"/>
    <x v="1"/>
    <n v="33791.07"/>
    <n v="30976.08496"/>
    <n v="-2814.9850419999998"/>
    <n v="-8.33"/>
    <x v="2"/>
  </r>
  <r>
    <x v="0"/>
    <x v="0"/>
    <n v="34664.18"/>
    <n v="32251.3518"/>
    <n v="-2412.8282020000001"/>
    <n v="-6.96"/>
    <x v="2"/>
  </r>
  <r>
    <x v="2"/>
    <x v="3"/>
    <n v="34517.769999999997"/>
    <n v="36628.533150000003"/>
    <n v="2110.7631529999999"/>
    <n v="6.12"/>
    <x v="0"/>
  </r>
  <r>
    <x v="3"/>
    <x v="3"/>
    <n v="21953.439999999999"/>
    <n v="19088.08106"/>
    <n v="-2865.3589390000002"/>
    <n v="-13.05"/>
    <x v="1"/>
  </r>
  <r>
    <x v="3"/>
    <x v="8"/>
    <n v="47408.07"/>
    <n v="48078.308510000003"/>
    <n v="670.23850600000003"/>
    <n v="1.41"/>
    <x v="3"/>
  </r>
  <r>
    <x v="1"/>
    <x v="4"/>
    <n v="47894.02"/>
    <n v="53529.8266"/>
    <n v="5635.8065969999998"/>
    <n v="11.77"/>
    <x v="0"/>
  </r>
  <r>
    <x v="2"/>
    <x v="5"/>
    <n v="35012.19"/>
    <n v="39119.901879999998"/>
    <n v="4107.7118819999996"/>
    <n v="11.73"/>
    <x v="0"/>
  </r>
  <r>
    <x v="4"/>
    <x v="7"/>
    <n v="41336.910000000003"/>
    <n v="40264.282930000001"/>
    <n v="-1072.62707"/>
    <n v="-2.59"/>
    <x v="3"/>
  </r>
  <r>
    <x v="1"/>
    <x v="5"/>
    <n v="34490.32"/>
    <n v="41774.643550000001"/>
    <n v="7284.3235530000002"/>
    <n v="21.12"/>
    <x v="0"/>
  </r>
  <r>
    <x v="2"/>
    <x v="11"/>
    <n v="29375.94"/>
    <n v="30538.744989999999"/>
    <n v="1162.8049920000001"/>
    <n v="3.96"/>
    <x v="3"/>
  </r>
  <r>
    <x v="2"/>
    <x v="11"/>
    <n v="36432.800000000003"/>
    <n v="37230.916790000003"/>
    <n v="798.11679000000004"/>
    <n v="2.19"/>
    <x v="3"/>
  </r>
  <r>
    <x v="1"/>
    <x v="3"/>
    <n v="32120.06"/>
    <n v="22803.815320000002"/>
    <n v="-9316.2446810000001"/>
    <n v="-29"/>
    <x v="1"/>
  </r>
  <r>
    <x v="3"/>
    <x v="1"/>
    <n v="33899.03"/>
    <n v="43632.889609999998"/>
    <n v="9733.8596070000003"/>
    <n v="28.71"/>
    <x v="0"/>
  </r>
  <r>
    <x v="2"/>
    <x v="0"/>
    <n v="41353.300000000003"/>
    <n v="33812.71617"/>
    <n v="-7540.5838290000002"/>
    <n v="-18.23"/>
    <x v="1"/>
  </r>
  <r>
    <x v="3"/>
    <x v="8"/>
    <n v="29236.15"/>
    <n v="23858.768250000001"/>
    <n v="-5377.3817509999999"/>
    <n v="-18.39"/>
    <x v="1"/>
  </r>
  <r>
    <x v="1"/>
    <x v="10"/>
    <n v="11630.16"/>
    <n v="2664.0967449999998"/>
    <n v="-8966.0632549999991"/>
    <n v="-77.09"/>
    <x v="1"/>
  </r>
  <r>
    <x v="3"/>
    <x v="11"/>
    <n v="16559.98"/>
    <n v="19360.039339999999"/>
    <n v="2800.0593370000001"/>
    <n v="16.91"/>
    <x v="0"/>
  </r>
  <r>
    <x v="0"/>
    <x v="8"/>
    <n v="27544.29"/>
    <n v="22038.313539999999"/>
    <n v="-5505.9764610000002"/>
    <n v="-19.989999999999998"/>
    <x v="1"/>
  </r>
  <r>
    <x v="4"/>
    <x v="3"/>
    <n v="38993.06"/>
    <n v="32593.268749999999"/>
    <n v="-6399.7912509999996"/>
    <n v="-16.41"/>
    <x v="1"/>
  </r>
  <r>
    <x v="2"/>
    <x v="4"/>
    <n v="33731.15"/>
    <n v="25502.26168"/>
    <n v="-8228.8883160000005"/>
    <n v="-24.4"/>
    <x v="1"/>
  </r>
  <r>
    <x v="4"/>
    <x v="6"/>
    <n v="36011.769999999997"/>
    <n v="28077.949140000001"/>
    <n v="-7933.820858"/>
    <n v="-22.03"/>
    <x v="1"/>
  </r>
  <r>
    <x v="3"/>
    <x v="5"/>
    <n v="29171.16"/>
    <n v="30864.57401"/>
    <n v="1693.4140090000001"/>
    <n v="5.81"/>
    <x v="0"/>
  </r>
  <r>
    <x v="2"/>
    <x v="0"/>
    <n v="34629.68"/>
    <n v="38393.837319999999"/>
    <n v="3764.1573170000001"/>
    <n v="10.87"/>
    <x v="0"/>
  </r>
  <r>
    <x v="3"/>
    <x v="2"/>
    <n v="23160.7"/>
    <n v="21108.279770000001"/>
    <n v="-2052.4202310000001"/>
    <n v="-8.86"/>
    <x v="2"/>
  </r>
  <r>
    <x v="0"/>
    <x v="8"/>
    <n v="28807.3"/>
    <n v="28405.24163"/>
    <n v="-402.05836820000002"/>
    <n v="-1.4"/>
    <x v="3"/>
  </r>
  <r>
    <x v="1"/>
    <x v="4"/>
    <n v="39771.160000000003"/>
    <n v="43490.514719999999"/>
    <n v="3719.3547199999998"/>
    <n v="9.35"/>
    <x v="0"/>
  </r>
  <r>
    <x v="2"/>
    <x v="10"/>
    <n v="44873.31"/>
    <n v="35220.9058"/>
    <n v="-9652.4041959999995"/>
    <n v="-21.51"/>
    <x v="1"/>
  </r>
  <r>
    <x v="0"/>
    <x v="7"/>
    <n v="27346.21"/>
    <n v="23808.82314"/>
    <n v="-3537.3868590000002"/>
    <n v="-12.94"/>
    <x v="1"/>
  </r>
  <r>
    <x v="0"/>
    <x v="5"/>
    <n v="11746.47"/>
    <n v="21208.42496"/>
    <n v="9461.9549609999995"/>
    <n v="80.55"/>
    <x v="0"/>
  </r>
  <r>
    <x v="2"/>
    <x v="2"/>
    <n v="16466.900000000001"/>
    <n v="18069.14459"/>
    <n v="1602.244594"/>
    <n v="9.73"/>
    <x v="0"/>
  </r>
  <r>
    <x v="3"/>
    <x v="5"/>
    <n v="10834.45"/>
    <n v="5918.9415980000003"/>
    <n v="-4915.5084020000004"/>
    <n v="-45.37"/>
    <x v="1"/>
  </r>
  <r>
    <x v="0"/>
    <x v="3"/>
    <n v="36130.519999999997"/>
    <n v="36565.120929999997"/>
    <n v="434.60093269999999"/>
    <n v="1.2"/>
    <x v="3"/>
  </r>
  <r>
    <x v="4"/>
    <x v="7"/>
    <n v="23292.59"/>
    <n v="20145.659759999999"/>
    <n v="-3146.9302379999999"/>
    <n v="-13.51"/>
    <x v="1"/>
  </r>
  <r>
    <x v="0"/>
    <x v="5"/>
    <n v="31699.15"/>
    <n v="32344.049780000001"/>
    <n v="644.89977650000003"/>
    <n v="2.0299999999999998"/>
    <x v="3"/>
  </r>
  <r>
    <x v="3"/>
    <x v="10"/>
    <n v="29731.07"/>
    <n v="22245.900239999999"/>
    <n v="-7485.1697640000002"/>
    <n v="-25.18"/>
    <x v="1"/>
  </r>
  <r>
    <x v="3"/>
    <x v="4"/>
    <n v="13261.06"/>
    <n v="5915.3530760000003"/>
    <n v="-7345.7069240000001"/>
    <n v="-55.39"/>
    <x v="1"/>
  </r>
  <r>
    <x v="4"/>
    <x v="11"/>
    <n v="26130.45"/>
    <n v="19001.29724"/>
    <n v="-7129.1527589999996"/>
    <n v="-27.28"/>
    <x v="1"/>
  </r>
  <r>
    <x v="0"/>
    <x v="7"/>
    <n v="18822.439999999999"/>
    <n v="27618.83584"/>
    <n v="8796.3958390000007"/>
    <n v="46.73"/>
    <x v="0"/>
  </r>
  <r>
    <x v="3"/>
    <x v="3"/>
    <n v="26735.99"/>
    <n v="31393.968369999999"/>
    <n v="4657.9783669999997"/>
    <n v="17.420000000000002"/>
    <x v="0"/>
  </r>
  <r>
    <x v="2"/>
    <x v="2"/>
    <n v="18143.13"/>
    <n v="11390.767889999999"/>
    <n v="-6752.3621069999999"/>
    <n v="-37.22"/>
    <x v="1"/>
  </r>
  <r>
    <x v="1"/>
    <x v="1"/>
    <n v="43618.1"/>
    <n v="37385.081680000003"/>
    <n v="-6233.018325"/>
    <n v="-14.29"/>
    <x v="1"/>
  </r>
  <r>
    <x v="1"/>
    <x v="9"/>
    <n v="16967.73"/>
    <n v="21584.319500000001"/>
    <n v="4616.5894969999999"/>
    <n v="27.21"/>
    <x v="0"/>
  </r>
  <r>
    <x v="1"/>
    <x v="8"/>
    <n v="48431.22"/>
    <n v="41554.496899999998"/>
    <n v="-6876.7231039999997"/>
    <n v="-14.2"/>
    <x v="1"/>
  </r>
  <r>
    <x v="0"/>
    <x v="5"/>
    <n v="26636.29"/>
    <n v="21327.515869999999"/>
    <n v="-5308.7741329999999"/>
    <n v="-19.93"/>
    <x v="1"/>
  </r>
  <r>
    <x v="4"/>
    <x v="11"/>
    <n v="43849.81"/>
    <n v="53116.746659999997"/>
    <n v="9266.9366559999999"/>
    <n v="21.13"/>
    <x v="0"/>
  </r>
  <r>
    <x v="3"/>
    <x v="7"/>
    <n v="35150.589999999997"/>
    <n v="30256.72049"/>
    <n v="-4893.8695049999997"/>
    <n v="-13.92"/>
    <x v="1"/>
  </r>
  <r>
    <x v="2"/>
    <x v="5"/>
    <n v="39414.01"/>
    <n v="42646.657010000003"/>
    <n v="3232.647007"/>
    <n v="8.1999999999999993"/>
    <x v="0"/>
  </r>
  <r>
    <x v="2"/>
    <x v="6"/>
    <n v="40708.959999999999"/>
    <n v="50281.585749999998"/>
    <n v="9572.6257480000004"/>
    <n v="23.51"/>
    <x v="0"/>
  </r>
  <r>
    <x v="0"/>
    <x v="8"/>
    <n v="30193.8"/>
    <n v="27679.735339999999"/>
    <n v="-2514.0646569999999"/>
    <n v="-8.33"/>
    <x v="2"/>
  </r>
  <r>
    <x v="1"/>
    <x v="1"/>
    <n v="31732.02"/>
    <n v="22082.339820000001"/>
    <n v="-9649.6801830000004"/>
    <n v="-30.41"/>
    <x v="1"/>
  </r>
  <r>
    <x v="0"/>
    <x v="10"/>
    <n v="30559.83"/>
    <n v="25442.775809999999"/>
    <n v="-5117.0541919999996"/>
    <n v="-16.739999999999998"/>
    <x v="1"/>
  </r>
  <r>
    <x v="4"/>
    <x v="9"/>
    <n v="33522.339999999997"/>
    <n v="40139.883829999999"/>
    <n v="6617.5438270000004"/>
    <n v="19.739999999999998"/>
    <x v="0"/>
  </r>
  <r>
    <x v="4"/>
    <x v="4"/>
    <n v="11175.78"/>
    <n v="18467.956719999998"/>
    <n v="7292.176719"/>
    <n v="65.25"/>
    <x v="0"/>
  </r>
  <r>
    <x v="3"/>
    <x v="5"/>
    <n v="25820.61"/>
    <n v="31190.997289999999"/>
    <n v="5370.3872899999997"/>
    <n v="2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C9ACB4-F681-49EC-9152-12DEA9E1ED4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15:D21" firstHeaderRow="0" firstDataRow="1" firstDataCol="1"/>
  <pivotFields count="7">
    <pivotField axis="axisRow" showAll="0">
      <items count="6">
        <item x="4"/>
        <item x="1"/>
        <item x="2"/>
        <item x="3"/>
        <item x="0"/>
        <item t="default"/>
      </items>
    </pivotField>
    <pivotField showAll="0">
      <items count="13">
        <item x="4"/>
        <item x="2"/>
        <item x="8"/>
        <item x="1"/>
        <item x="11"/>
        <item x="0"/>
        <item x="9"/>
        <item x="7"/>
        <item x="10"/>
        <item x="6"/>
        <item x="3"/>
        <item x="5"/>
        <item t="default"/>
      </items>
    </pivotField>
    <pivotField dataField="1" showAll="0"/>
    <pivotField dataField="1" showAll="0"/>
    <pivotField showAll="0"/>
    <pivotField showAll="0">
      <items count="100">
        <item x="61"/>
        <item x="30"/>
        <item x="41"/>
        <item x="81"/>
        <item x="76"/>
        <item x="85"/>
        <item x="94"/>
        <item x="57"/>
        <item x="25"/>
        <item x="82"/>
        <item x="80"/>
        <item x="65"/>
        <item x="66"/>
        <item x="35"/>
        <item x="72"/>
        <item x="20"/>
        <item x="63"/>
        <item x="89"/>
        <item x="5"/>
        <item x="38"/>
        <item x="18"/>
        <item x="10"/>
        <item x="60"/>
        <item x="59"/>
        <item x="95"/>
        <item x="64"/>
        <item x="27"/>
        <item x="33"/>
        <item x="86"/>
        <item x="88"/>
        <item x="91"/>
        <item x="78"/>
        <item x="49"/>
        <item x="73"/>
        <item x="34"/>
        <item x="21"/>
        <item x="45"/>
        <item x="69"/>
        <item x="7"/>
        <item x="6"/>
        <item x="46"/>
        <item x="12"/>
        <item x="15"/>
        <item x="47"/>
        <item x="28"/>
        <item x="17"/>
        <item x="19"/>
        <item x="42"/>
        <item x="39"/>
        <item x="53"/>
        <item x="37"/>
        <item x="70"/>
        <item x="8"/>
        <item x="16"/>
        <item x="77"/>
        <item x="50"/>
        <item x="79"/>
        <item x="56"/>
        <item x="43"/>
        <item x="55"/>
        <item x="13"/>
        <item x="32"/>
        <item x="23"/>
        <item x="31"/>
        <item x="67"/>
        <item x="1"/>
        <item x="48"/>
        <item x="14"/>
        <item x="40"/>
        <item x="92"/>
        <item x="71"/>
        <item x="75"/>
        <item x="0"/>
        <item x="68"/>
        <item x="52"/>
        <item x="51"/>
        <item x="22"/>
        <item x="11"/>
        <item x="29"/>
        <item x="26"/>
        <item x="62"/>
        <item x="84"/>
        <item x="3"/>
        <item x="96"/>
        <item x="98"/>
        <item x="54"/>
        <item x="90"/>
        <item x="93"/>
        <item x="87"/>
        <item x="4"/>
        <item x="58"/>
        <item x="24"/>
        <item x="2"/>
        <item x="36"/>
        <item x="9"/>
        <item x="83"/>
        <item x="44"/>
        <item x="97"/>
        <item x="74"/>
        <item t="default"/>
      </items>
    </pivotField>
    <pivotField dataField="1" dragToRow="0" dragToCol="0" dragToPage="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Actual" fld="3" baseField="0" baseItem="0"/>
    <dataField name="Sum of Budget" fld="2" baseField="0" baseItem="0"/>
    <dataField name="Sum of Variances" fld="6"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842CE-D57C-43F4-AF37-D173E707A32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9" firstHeaderRow="1" firstDataRow="1" firstDataCol="1"/>
  <pivotFields count="9">
    <pivotField axis="axisRow" showAll="0">
      <items count="6">
        <item x="4"/>
        <item x="1"/>
        <item x="2"/>
        <item x="3"/>
        <item x="0"/>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0"/>
  </rowFields>
  <rowItems count="6">
    <i>
      <x/>
    </i>
    <i>
      <x v="1"/>
    </i>
    <i>
      <x v="2"/>
    </i>
    <i>
      <x v="3"/>
    </i>
    <i>
      <x v="4"/>
    </i>
    <i t="grand">
      <x/>
    </i>
  </rowItems>
  <colItems count="1">
    <i/>
  </colItems>
  <dataFields count="1">
    <dataField name="Average of % Varianc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30627-2E01-40BB-8A69-FB1AEF952F1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E25:G38" firstHeaderRow="0" firstDataRow="1" firstDataCol="1"/>
  <pivotFields count="7">
    <pivotField showAll="0"/>
    <pivotField axis="axisRow" showAll="0">
      <items count="13">
        <item x="4"/>
        <item x="2"/>
        <item x="8"/>
        <item x="1"/>
        <item x="11"/>
        <item x="0"/>
        <item x="9"/>
        <item x="7"/>
        <item x="10"/>
        <item x="6"/>
        <item x="3"/>
        <item x="5"/>
        <item t="default"/>
      </items>
    </pivotField>
    <pivotField dataField="1" showAll="0"/>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fld="2" baseField="0" baseItem="0"/>
    <dataField name="Sum of Actual"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78C408-C543-46C0-B946-FA27D1867B1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C48" firstHeaderRow="0" firstDataRow="1" firstDataCol="1"/>
  <pivotFields count="7">
    <pivotField axis="axisRow" showAll="0">
      <items count="6">
        <item x="4"/>
        <item x="1"/>
        <item x="2"/>
        <item x="3"/>
        <item x="0"/>
        <item t="default"/>
      </items>
    </pivotField>
    <pivotField showAll="0"/>
    <pivotField dataField="1" showAll="0"/>
    <pivotField dataField="1" showAll="0"/>
    <pivotField showAll="0"/>
    <pivotField showAll="0"/>
    <pivotField showAll="0">
      <items count="5">
        <item x="1"/>
        <item x="2"/>
        <item x="0"/>
        <item x="3"/>
        <item t="default"/>
      </items>
    </pivotField>
  </pivotFields>
  <rowFields count="1">
    <field x="0"/>
  </rowFields>
  <rowItems count="6">
    <i>
      <x/>
    </i>
    <i>
      <x v="1"/>
    </i>
    <i>
      <x v="2"/>
    </i>
    <i>
      <x v="3"/>
    </i>
    <i>
      <x v="4"/>
    </i>
    <i t="grand">
      <x/>
    </i>
  </rowItems>
  <colFields count="1">
    <field x="-2"/>
  </colFields>
  <colItems count="2">
    <i>
      <x/>
    </i>
    <i i="1">
      <x v="1"/>
    </i>
  </colItems>
  <dataFields count="2">
    <dataField name="Sum of Actual" fld="3" baseField="0" baseItem="0"/>
    <dataField name="Sum of Budge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9B5FD5-B619-4EBF-9F94-CD71006FFEE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B26:C39" firstHeaderRow="1" firstDataRow="1" firstDataCol="1"/>
  <pivotFields count="7">
    <pivotField showAll="0">
      <items count="6">
        <item x="4"/>
        <item x="1"/>
        <item x="2"/>
        <item x="3"/>
        <item x="0"/>
        <item t="default"/>
      </items>
    </pivotField>
    <pivotField axis="axisRow" showAll="0">
      <items count="13">
        <item x="4"/>
        <item x="2"/>
        <item x="8"/>
        <item x="1"/>
        <item x="11"/>
        <item x="0"/>
        <item x="9"/>
        <item x="7"/>
        <item x="10"/>
        <item x="6"/>
        <item x="3"/>
        <item x="5"/>
        <item t="default"/>
      </items>
    </pivotField>
    <pivotField showAll="0"/>
    <pivotField showAll="0"/>
    <pivotField showAll="0"/>
    <pivotField dataField="1" showAll="0">
      <items count="100">
        <item x="61"/>
        <item x="30"/>
        <item x="41"/>
        <item x="81"/>
        <item x="76"/>
        <item x="85"/>
        <item x="94"/>
        <item x="57"/>
        <item x="25"/>
        <item x="82"/>
        <item x="80"/>
        <item x="65"/>
        <item x="66"/>
        <item x="35"/>
        <item x="72"/>
        <item x="20"/>
        <item x="63"/>
        <item x="89"/>
        <item x="5"/>
        <item x="38"/>
        <item x="18"/>
        <item x="10"/>
        <item x="60"/>
        <item x="59"/>
        <item x="95"/>
        <item x="64"/>
        <item x="27"/>
        <item x="33"/>
        <item x="86"/>
        <item x="88"/>
        <item x="91"/>
        <item x="78"/>
        <item x="49"/>
        <item x="73"/>
        <item x="34"/>
        <item x="21"/>
        <item x="45"/>
        <item x="69"/>
        <item x="7"/>
        <item x="6"/>
        <item x="46"/>
        <item x="12"/>
        <item x="15"/>
        <item x="47"/>
        <item x="28"/>
        <item x="17"/>
        <item x="19"/>
        <item x="42"/>
        <item x="39"/>
        <item x="53"/>
        <item x="37"/>
        <item x="70"/>
        <item x="8"/>
        <item x="16"/>
        <item x="77"/>
        <item x="50"/>
        <item x="79"/>
        <item x="56"/>
        <item x="43"/>
        <item x="55"/>
        <item x="13"/>
        <item x="32"/>
        <item x="23"/>
        <item x="31"/>
        <item x="67"/>
        <item x="1"/>
        <item x="48"/>
        <item x="14"/>
        <item x="40"/>
        <item x="92"/>
        <item x="71"/>
        <item x="75"/>
        <item x="0"/>
        <item x="68"/>
        <item x="52"/>
        <item x="51"/>
        <item x="22"/>
        <item x="11"/>
        <item x="29"/>
        <item x="26"/>
        <item x="62"/>
        <item x="84"/>
        <item x="3"/>
        <item x="96"/>
        <item x="98"/>
        <item x="54"/>
        <item x="90"/>
        <item x="93"/>
        <item x="87"/>
        <item x="4"/>
        <item x="58"/>
        <item x="24"/>
        <item x="2"/>
        <item x="36"/>
        <item x="9"/>
        <item x="83"/>
        <item x="44"/>
        <item x="97"/>
        <item x="74"/>
        <item t="default"/>
      </items>
    </pivotField>
    <pivotField dragToRow="0" dragToCol="0" dragToPage="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Average of % Variance" fld="5" subtotal="average" baseField="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A9AC10-F01C-4E48-8DFD-FA725441C39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V19:W25" firstHeaderRow="1" firstDataRow="1" firstDataCol="1"/>
  <pivotFields count="7">
    <pivotField axis="axisRow" showAll="0" sortType="descending">
      <items count="6">
        <item x="4"/>
        <item x="1"/>
        <item x="2"/>
        <item x="3"/>
        <item x="0"/>
        <item t="default"/>
      </items>
      <autoSortScope>
        <pivotArea dataOnly="0" outline="0" fieldPosition="0">
          <references count="1">
            <reference field="4294967294" count="1" selected="0">
              <x v="0"/>
            </reference>
          </references>
        </pivotArea>
      </autoSortScope>
    </pivotField>
    <pivotField showAll="0">
      <items count="13">
        <item x="4"/>
        <item x="2"/>
        <item x="8"/>
        <item x="1"/>
        <item x="11"/>
        <item x="0"/>
        <item x="9"/>
        <item x="7"/>
        <item x="10"/>
        <item x="6"/>
        <item x="3"/>
        <item x="5"/>
        <item t="default"/>
      </items>
    </pivotField>
    <pivotField showAll="0"/>
    <pivotField showAll="0"/>
    <pivotField showAll="0"/>
    <pivotField dataField="1" showAll="0">
      <items count="100">
        <item x="61"/>
        <item x="30"/>
        <item x="41"/>
        <item x="81"/>
        <item x="76"/>
        <item x="85"/>
        <item x="94"/>
        <item x="57"/>
        <item x="25"/>
        <item x="82"/>
        <item x="80"/>
        <item x="65"/>
        <item x="66"/>
        <item x="35"/>
        <item x="72"/>
        <item x="20"/>
        <item x="63"/>
        <item x="89"/>
        <item x="5"/>
        <item x="38"/>
        <item x="18"/>
        <item x="10"/>
        <item x="60"/>
        <item x="59"/>
        <item x="95"/>
        <item x="64"/>
        <item x="27"/>
        <item x="33"/>
        <item x="86"/>
        <item x="88"/>
        <item x="91"/>
        <item x="78"/>
        <item x="49"/>
        <item x="73"/>
        <item x="34"/>
        <item x="21"/>
        <item x="45"/>
        <item x="69"/>
        <item x="7"/>
        <item x="6"/>
        <item x="46"/>
        <item x="12"/>
        <item x="15"/>
        <item x="47"/>
        <item x="28"/>
        <item x="17"/>
        <item x="19"/>
        <item x="42"/>
        <item x="39"/>
        <item x="53"/>
        <item x="37"/>
        <item x="70"/>
        <item x="8"/>
        <item x="16"/>
        <item x="77"/>
        <item x="50"/>
        <item x="79"/>
        <item x="56"/>
        <item x="43"/>
        <item x="55"/>
        <item x="13"/>
        <item x="32"/>
        <item x="23"/>
        <item x="31"/>
        <item x="67"/>
        <item x="1"/>
        <item x="48"/>
        <item x="14"/>
        <item x="40"/>
        <item x="92"/>
        <item x="71"/>
        <item x="75"/>
        <item x="0"/>
        <item x="68"/>
        <item x="52"/>
        <item x="51"/>
        <item x="22"/>
        <item x="11"/>
        <item x="29"/>
        <item x="26"/>
        <item x="62"/>
        <item x="84"/>
        <item x="3"/>
        <item x="96"/>
        <item x="98"/>
        <item x="54"/>
        <item x="90"/>
        <item x="93"/>
        <item x="87"/>
        <item x="4"/>
        <item x="58"/>
        <item x="24"/>
        <item x="2"/>
        <item x="36"/>
        <item x="9"/>
        <item x="83"/>
        <item x="44"/>
        <item x="97"/>
        <item x="74"/>
        <item t="default"/>
      </items>
    </pivotField>
    <pivotField dragToRow="0" dragToCol="0" dragToPage="0" showAll="0" defaultSubtotal="0"/>
  </pivotFields>
  <rowFields count="1">
    <field x="0"/>
  </rowFields>
  <rowItems count="6">
    <i>
      <x v="2"/>
    </i>
    <i>
      <x/>
    </i>
    <i>
      <x v="3"/>
    </i>
    <i>
      <x v="4"/>
    </i>
    <i>
      <x v="1"/>
    </i>
    <i t="grand">
      <x/>
    </i>
  </rowItems>
  <colItems count="1">
    <i/>
  </colItems>
  <dataFields count="1">
    <dataField name="Average of % Variance" fld="5" subtotal="average" baseField="0" baseItem="0"/>
  </dataFields>
  <conditionalFormats count="1">
    <conditionalFormat priority="2">
      <pivotAreas count="1">
        <pivotArea fieldPosition="0">
          <references count="1">
            <reference field="0" count="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7582D2-C6AE-4CEC-8ED4-96BD098EA22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1:D14" firstHeaderRow="0" firstDataRow="1" firstDataCol="1"/>
  <pivotFields count="7">
    <pivotField showAll="0">
      <items count="6">
        <item x="4"/>
        <item x="1"/>
        <item x="2"/>
        <item x="3"/>
        <item x="0"/>
        <item t="default"/>
      </items>
    </pivotField>
    <pivotField axis="axisRow" showAll="0">
      <items count="13">
        <item x="4"/>
        <item x="2"/>
        <item x="8"/>
        <item x="1"/>
        <item x="11"/>
        <item x="0"/>
        <item x="9"/>
        <item x="7"/>
        <item x="10"/>
        <item x="6"/>
        <item x="3"/>
        <item x="5"/>
        <item t="default"/>
      </items>
    </pivotField>
    <pivotField dataField="1" showAll="0"/>
    <pivotField dataField="1"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Budget" fld="2" baseField="0" baseItem="0"/>
    <dataField name="Sum of Actual" fld="3" baseField="0" baseItem="0"/>
    <dataField name="Sum of Variance" fld="4" baseField="0" baseItem="0"/>
  </dataFields>
  <formats count="1">
    <format dxfId="0">
      <pivotArea collapsedLevelsAreSubtotals="1" fieldPosition="0">
        <references count="2">
          <reference field="4294967294" count="2" selected="0">
            <x v="0"/>
            <x v="1"/>
          </reference>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4E57E51-5B69-48FB-8BF5-9552B11DD1F0}" sourceName="Department">
  <pivotTables>
    <pivotTable tabId="4" name="PivotTable6"/>
    <pivotTable tabId="4" name="PivotTable3"/>
    <pivotTable tabId="6" name="PivotTable8"/>
  </pivotTables>
  <data>
    <tabular pivotCacheId="1589284864">
      <items count="5">
        <i x="4" s="1"/>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ACF677-EF65-4860-A1C6-FC018B67E66C}" sourceName="Month">
  <pivotTables>
    <pivotTable tabId="4" name="PivotTable6"/>
    <pivotTable tabId="4" name="PivotTable3"/>
    <pivotTable tabId="6" name="PivotTable8"/>
  </pivotTables>
  <data>
    <tabular pivotCacheId="1589284864">
      <items count="12">
        <i x="4" s="1"/>
        <i x="2" s="1"/>
        <i x="8" s="1"/>
        <i x="1" s="1"/>
        <i x="11" s="1"/>
        <i x="0" s="1"/>
        <i x="9" s="1"/>
        <i x="7" s="1"/>
        <i x="10" s="1"/>
        <i x="6"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_Variance" xr10:uid="{469ECD85-7A33-4D26-8DE3-E5AAF9346289}" sourceName="% Variance">
  <pivotTables>
    <pivotTable tabId="4" name="PivotTable6"/>
    <pivotTable tabId="4" name="PivotTable3"/>
    <pivotTable tabId="6" name="PivotTable8"/>
  </pivotTables>
  <data>
    <tabular pivotCacheId="1589284864">
      <items count="99">
        <i x="61" s="1"/>
        <i x="30" s="1"/>
        <i x="41" s="1"/>
        <i x="81" s="1"/>
        <i x="76" s="1"/>
        <i x="85" s="1"/>
        <i x="94" s="1"/>
        <i x="57" s="1"/>
        <i x="25" s="1"/>
        <i x="82" s="1"/>
        <i x="80" s="1"/>
        <i x="65" s="1"/>
        <i x="66" s="1"/>
        <i x="35" s="1"/>
        <i x="72" s="1"/>
        <i x="20" s="1"/>
        <i x="63" s="1"/>
        <i x="89" s="1"/>
        <i x="5" s="1"/>
        <i x="38" s="1"/>
        <i x="18" s="1"/>
        <i x="10" s="1"/>
        <i x="60" s="1"/>
        <i x="59" s="1"/>
        <i x="95" s="1"/>
        <i x="64" s="1"/>
        <i x="27" s="1"/>
        <i x="33" s="1"/>
        <i x="86" s="1"/>
        <i x="88" s="1"/>
        <i x="91" s="1"/>
        <i x="78" s="1"/>
        <i x="49" s="1"/>
        <i x="73" s="1"/>
        <i x="34" s="1"/>
        <i x="21" s="1"/>
        <i x="45" s="1"/>
        <i x="69" s="1"/>
        <i x="7" s="1"/>
        <i x="6" s="1"/>
        <i x="46" s="1"/>
        <i x="12" s="1"/>
        <i x="15" s="1"/>
        <i x="47" s="1"/>
        <i x="28" s="1"/>
        <i x="17" s="1"/>
        <i x="19" s="1"/>
        <i x="42" s="1"/>
        <i x="39" s="1"/>
        <i x="53" s="1"/>
        <i x="37" s="1"/>
        <i x="70" s="1"/>
        <i x="8" s="1"/>
        <i x="16" s="1"/>
        <i x="77" s="1"/>
        <i x="50" s="1"/>
        <i x="79" s="1"/>
        <i x="56" s="1"/>
        <i x="43" s="1"/>
        <i x="55" s="1"/>
        <i x="13" s="1"/>
        <i x="32" s="1"/>
        <i x="23" s="1"/>
        <i x="31" s="1"/>
        <i x="67" s="1"/>
        <i x="1" s="1"/>
        <i x="48" s="1"/>
        <i x="14" s="1"/>
        <i x="40" s="1"/>
        <i x="92" s="1"/>
        <i x="71" s="1"/>
        <i x="75" s="1"/>
        <i x="0" s="1"/>
        <i x="68" s="1"/>
        <i x="52" s="1"/>
        <i x="51" s="1"/>
        <i x="22" s="1"/>
        <i x="11" s="1"/>
        <i x="29" s="1"/>
        <i x="26" s="1"/>
        <i x="62" s="1"/>
        <i x="84" s="1"/>
        <i x="3" s="1"/>
        <i x="96" s="1"/>
        <i x="98" s="1"/>
        <i x="54" s="1"/>
        <i x="90" s="1"/>
        <i x="93" s="1"/>
        <i x="87" s="1"/>
        <i x="4" s="1"/>
        <i x="58" s="1"/>
        <i x="24" s="1"/>
        <i x="2" s="1"/>
        <i x="36" s="1"/>
        <i x="9" s="1"/>
        <i x="83" s="1"/>
        <i x="44" s="1"/>
        <i x="97" s="1"/>
        <i x="7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9B81B881-602F-43D9-979B-23CA10133814}" sourceName="Performance Category">
  <pivotTables>
    <pivotTable tabId="4" name="PivotTable9"/>
  </pivotTables>
  <data>
    <tabular pivotCacheId="1562272562">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8844892-3308-4B22-96BB-D7336777335E}" sourceName="Department">
  <pivotTables>
    <pivotTable tabId="8" name="PivotTable10"/>
  </pivotTables>
  <data>
    <tabular pivotCacheId="1562272562">
      <items count="5">
        <i x="4" s="1"/>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9C48F4B7-99EA-4B45-B288-553AEFCC8322}" sourceName="Month">
  <pivotTables>
    <pivotTable tabId="8" name="PivotTable10"/>
  </pivotTables>
  <data>
    <tabular pivotCacheId="1562272562">
      <items count="12">
        <i x="4" s="1"/>
        <i x="2" s="1"/>
        <i x="8" s="1"/>
        <i x="1" s="1"/>
        <i x="11" s="1"/>
        <i x="0" s="1"/>
        <i x="9" s="1"/>
        <i x="7" s="1"/>
        <i x="10" s="1"/>
        <i x="6"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2FBDBEE-C2F6-47AD-86B8-0D92762B4734}" cache="Slicer_Department" caption="Department" rowHeight="247650"/>
  <slicer name="Month" xr10:uid="{2EBDA068-52EC-4354-AF14-6001C5191555}" cache="Slicer_Month" caption="Month" startItem="4" rowHeight="247650"/>
  <slicer name="% Variance" xr10:uid="{2EDA8522-CFCD-4D8F-A756-040A748E0D9B}" cache="Slicer___Variance" caption="% Variance" startItem="54" rowHeight="247650"/>
  <slicer name="Performance Category" xr10:uid="{759000A4-8BBF-4955-8A70-B26F96857D4A}" cache="Slicer_Performance_Category" caption="Performance 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95F2684-4843-4109-A3C4-E6E862BE7BB0}" cache="Slicer_Department1" caption="Department" rowHeight="247650"/>
  <slicer name="Month 1" xr10:uid="{60566E28-AE93-4009-8E31-4480F7D4015B}" cache="Slicer_Month1" caption="Month" startItem="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202A-A6C5-4910-ABF1-EEB29BB46A3C}">
  <dimension ref="A1:I131"/>
  <sheetViews>
    <sheetView topLeftCell="A93" workbookViewId="0">
      <selection activeCell="H118" sqref="H118"/>
    </sheetView>
  </sheetViews>
  <sheetFormatPr defaultRowHeight="14.4" x14ac:dyDescent="0.3"/>
  <sheetData>
    <row r="1" spans="1:9" ht="18" thickBot="1" x14ac:dyDescent="0.35">
      <c r="A1" s="1" t="s">
        <v>0</v>
      </c>
      <c r="B1" s="2"/>
      <c r="C1" s="2"/>
      <c r="D1" s="2"/>
      <c r="E1" s="2"/>
      <c r="F1" s="2"/>
      <c r="G1" s="2"/>
      <c r="H1" s="2"/>
      <c r="I1" s="2"/>
    </row>
    <row r="2" spans="1:9" ht="15" thickBot="1" x14ac:dyDescent="0.35">
      <c r="A2" s="2"/>
      <c r="B2" s="2"/>
      <c r="C2" s="2"/>
      <c r="D2" s="2"/>
      <c r="E2" s="2"/>
      <c r="F2" s="2"/>
      <c r="G2" s="2"/>
      <c r="H2" s="2"/>
      <c r="I2" s="2"/>
    </row>
    <row r="3" spans="1:9" ht="15" thickBot="1" x14ac:dyDescent="0.35">
      <c r="A3" s="3" t="s">
        <v>1</v>
      </c>
      <c r="B3" s="2"/>
      <c r="C3" s="2"/>
      <c r="D3" s="2"/>
      <c r="E3" s="2"/>
      <c r="F3" s="2"/>
      <c r="G3" s="2"/>
      <c r="H3" s="2"/>
      <c r="I3" s="2"/>
    </row>
    <row r="4" spans="1:9" ht="15" thickBot="1" x14ac:dyDescent="0.35">
      <c r="A4" s="4"/>
      <c r="B4" s="2"/>
      <c r="C4" s="2"/>
      <c r="D4" s="2"/>
      <c r="E4" s="2"/>
      <c r="F4" s="2"/>
      <c r="G4" s="2"/>
      <c r="H4" s="2"/>
      <c r="I4" s="2"/>
    </row>
    <row r="5" spans="1:9" ht="15" thickBot="1" x14ac:dyDescent="0.35">
      <c r="A5" s="3" t="s">
        <v>2</v>
      </c>
      <c r="B5" s="2"/>
      <c r="C5" s="2"/>
      <c r="D5" s="2"/>
      <c r="E5" s="2"/>
      <c r="F5" s="2"/>
      <c r="G5" s="2"/>
      <c r="H5" s="2"/>
      <c r="I5" s="2"/>
    </row>
    <row r="6" spans="1:9" ht="15" thickBot="1" x14ac:dyDescent="0.35">
      <c r="A6" s="4"/>
      <c r="B6" s="2"/>
      <c r="C6" s="2"/>
      <c r="D6" s="2"/>
      <c r="E6" s="2"/>
      <c r="F6" s="2"/>
      <c r="G6" s="2"/>
      <c r="H6" s="2"/>
      <c r="I6" s="2"/>
    </row>
    <row r="7" spans="1:9" ht="15" thickBot="1" x14ac:dyDescent="0.35">
      <c r="A7" s="5" t="s">
        <v>3</v>
      </c>
      <c r="B7" s="2"/>
      <c r="C7" s="2"/>
      <c r="D7" s="2"/>
      <c r="E7" s="2"/>
      <c r="F7" s="2"/>
      <c r="G7" s="2"/>
      <c r="H7" s="2"/>
      <c r="I7" s="2"/>
    </row>
    <row r="8" spans="1:9" ht="15" thickBot="1" x14ac:dyDescent="0.35">
      <c r="A8" s="4"/>
      <c r="B8" s="2"/>
      <c r="C8" s="2"/>
      <c r="D8" s="2"/>
      <c r="E8" s="2"/>
      <c r="F8" s="2"/>
      <c r="G8" s="2"/>
      <c r="H8" s="2"/>
      <c r="I8" s="2"/>
    </row>
    <row r="9" spans="1:9" ht="15" thickBot="1" x14ac:dyDescent="0.35">
      <c r="A9" s="4"/>
      <c r="B9" s="2"/>
      <c r="C9" s="2"/>
      <c r="D9" s="2"/>
      <c r="E9" s="2"/>
      <c r="F9" s="2"/>
      <c r="G9" s="2"/>
      <c r="H9" s="2"/>
      <c r="I9" s="2"/>
    </row>
    <row r="11" spans="1:9" x14ac:dyDescent="0.3">
      <c r="A11" s="6" t="s">
        <v>4</v>
      </c>
    </row>
    <row r="12" spans="1:9" x14ac:dyDescent="0.3">
      <c r="A12" s="7" t="s">
        <v>5</v>
      </c>
    </row>
    <row r="13" spans="1:9" x14ac:dyDescent="0.3">
      <c r="A13" s="6" t="s">
        <v>6</v>
      </c>
    </row>
    <row r="15" spans="1:9" x14ac:dyDescent="0.3">
      <c r="A15" s="7" t="s">
        <v>7</v>
      </c>
    </row>
    <row r="17" spans="1:1" x14ac:dyDescent="0.3">
      <c r="A17" s="7" t="s">
        <v>8</v>
      </c>
    </row>
    <row r="19" spans="1:1" x14ac:dyDescent="0.3">
      <c r="A19" s="7" t="s">
        <v>9</v>
      </c>
    </row>
    <row r="21" spans="1:1" x14ac:dyDescent="0.3">
      <c r="A21" s="7" t="s">
        <v>10</v>
      </c>
    </row>
    <row r="23" spans="1:1" x14ac:dyDescent="0.3">
      <c r="A23" s="7" t="s">
        <v>11</v>
      </c>
    </row>
    <row r="25" spans="1:1" x14ac:dyDescent="0.3">
      <c r="A25" s="7" t="s">
        <v>12</v>
      </c>
    </row>
    <row r="26" spans="1:1" x14ac:dyDescent="0.3">
      <c r="A26" s="6" t="s">
        <v>13</v>
      </c>
    </row>
    <row r="28" spans="1:1" x14ac:dyDescent="0.3">
      <c r="A28" s="7" t="s">
        <v>14</v>
      </c>
    </row>
    <row r="30" spans="1:1" x14ac:dyDescent="0.3">
      <c r="A30" s="7" t="s">
        <v>15</v>
      </c>
    </row>
    <row r="32" spans="1:1" x14ac:dyDescent="0.3">
      <c r="A32" s="7" t="s">
        <v>16</v>
      </c>
    </row>
    <row r="34" spans="1:1" x14ac:dyDescent="0.3">
      <c r="A34" s="7" t="s">
        <v>17</v>
      </c>
    </row>
    <row r="36" spans="1:1" x14ac:dyDescent="0.3">
      <c r="A36" s="7" t="s">
        <v>18</v>
      </c>
    </row>
    <row r="37" spans="1:1" x14ac:dyDescent="0.3">
      <c r="A37" s="6" t="s">
        <v>19</v>
      </c>
    </row>
    <row r="39" spans="1:1" x14ac:dyDescent="0.3">
      <c r="A39" s="7" t="s">
        <v>20</v>
      </c>
    </row>
    <row r="41" spans="1:1" x14ac:dyDescent="0.3">
      <c r="A41" s="7" t="s">
        <v>21</v>
      </c>
    </row>
    <row r="43" spans="1:1" x14ac:dyDescent="0.3">
      <c r="A43" s="7" t="s">
        <v>22</v>
      </c>
    </row>
    <row r="45" spans="1:1" x14ac:dyDescent="0.3">
      <c r="A45" s="7" t="s">
        <v>23</v>
      </c>
    </row>
    <row r="47" spans="1:1" x14ac:dyDescent="0.3">
      <c r="A47" s="7" t="s">
        <v>24</v>
      </c>
    </row>
    <row r="48" spans="1:1" x14ac:dyDescent="0.3">
      <c r="A48" s="6" t="s">
        <v>25</v>
      </c>
    </row>
    <row r="50" spans="1:1" x14ac:dyDescent="0.3">
      <c r="A50" s="7" t="s">
        <v>26</v>
      </c>
    </row>
    <row r="52" spans="1:1" x14ac:dyDescent="0.3">
      <c r="A52" s="7" t="s">
        <v>27</v>
      </c>
    </row>
    <row r="54" spans="1:1" x14ac:dyDescent="0.3">
      <c r="A54" s="7" t="s">
        <v>28</v>
      </c>
    </row>
    <row r="56" spans="1:1" x14ac:dyDescent="0.3">
      <c r="A56" s="7" t="s">
        <v>29</v>
      </c>
    </row>
    <row r="57" spans="1:1" x14ac:dyDescent="0.3">
      <c r="A57" s="6" t="s">
        <v>30</v>
      </c>
    </row>
    <row r="59" spans="1:1" x14ac:dyDescent="0.3">
      <c r="A59" s="7" t="s">
        <v>31</v>
      </c>
    </row>
    <row r="61" spans="1:1" x14ac:dyDescent="0.3">
      <c r="A61" s="7" t="s">
        <v>32</v>
      </c>
    </row>
    <row r="63" spans="1:1" x14ac:dyDescent="0.3">
      <c r="A63" s="7" t="s">
        <v>33</v>
      </c>
    </row>
    <row r="65" spans="1:1" x14ac:dyDescent="0.3">
      <c r="A65" s="7" t="s">
        <v>34</v>
      </c>
    </row>
    <row r="67" spans="1:1" x14ac:dyDescent="0.3">
      <c r="A67" s="7" t="s">
        <v>35</v>
      </c>
    </row>
    <row r="68" spans="1:1" x14ac:dyDescent="0.3">
      <c r="A68" s="6" t="s">
        <v>36</v>
      </c>
    </row>
    <row r="70" spans="1:1" x14ac:dyDescent="0.3">
      <c r="A70" s="7" t="s">
        <v>37</v>
      </c>
    </row>
    <row r="72" spans="1:1" x14ac:dyDescent="0.3">
      <c r="A72" s="7" t="s">
        <v>38</v>
      </c>
    </row>
    <row r="74" spans="1:1" x14ac:dyDescent="0.3">
      <c r="A74" s="7" t="s">
        <v>39</v>
      </c>
    </row>
    <row r="76" spans="1:1" x14ac:dyDescent="0.3">
      <c r="A76" s="7" t="s">
        <v>40</v>
      </c>
    </row>
    <row r="78" spans="1:1" x14ac:dyDescent="0.3">
      <c r="A78" s="7" t="s">
        <v>41</v>
      </c>
    </row>
    <row r="79" spans="1:1" x14ac:dyDescent="0.3">
      <c r="A79" s="6" t="s">
        <v>42</v>
      </c>
    </row>
    <row r="81" spans="1:1" x14ac:dyDescent="0.3">
      <c r="A81" s="7" t="s">
        <v>43</v>
      </c>
    </row>
    <row r="83" spans="1:1" x14ac:dyDescent="0.3">
      <c r="A83" s="7" t="s">
        <v>44</v>
      </c>
    </row>
    <row r="85" spans="1:1" x14ac:dyDescent="0.3">
      <c r="A85" s="7" t="s">
        <v>45</v>
      </c>
    </row>
    <row r="87" spans="1:1" x14ac:dyDescent="0.3">
      <c r="A87" s="7" t="s">
        <v>46</v>
      </c>
    </row>
    <row r="88" spans="1:1" x14ac:dyDescent="0.3">
      <c r="A88" s="6" t="s">
        <v>47</v>
      </c>
    </row>
    <row r="90" spans="1:1" x14ac:dyDescent="0.3">
      <c r="A90" s="7" t="s">
        <v>48</v>
      </c>
    </row>
    <row r="92" spans="1:1" x14ac:dyDescent="0.3">
      <c r="A92" s="7" t="s">
        <v>49</v>
      </c>
    </row>
    <row r="94" spans="1:1" x14ac:dyDescent="0.3">
      <c r="A94" s="7" t="s">
        <v>50</v>
      </c>
    </row>
    <row r="96" spans="1:1" x14ac:dyDescent="0.3">
      <c r="A96" s="7" t="s">
        <v>51</v>
      </c>
    </row>
    <row r="97" spans="1:1" x14ac:dyDescent="0.3">
      <c r="A97" s="6" t="s">
        <v>52</v>
      </c>
    </row>
    <row r="99" spans="1:1" x14ac:dyDescent="0.3">
      <c r="A99" s="7" t="s">
        <v>53</v>
      </c>
    </row>
    <row r="101" spans="1:1" x14ac:dyDescent="0.3">
      <c r="A101" s="7" t="s">
        <v>54</v>
      </c>
    </row>
    <row r="103" spans="1:1" x14ac:dyDescent="0.3">
      <c r="A103" s="7" t="s">
        <v>55</v>
      </c>
    </row>
    <row r="105" spans="1:1" x14ac:dyDescent="0.3">
      <c r="A105" s="7" t="s">
        <v>56</v>
      </c>
    </row>
    <row r="106" spans="1:1" x14ac:dyDescent="0.3">
      <c r="A106" s="6" t="s">
        <v>57</v>
      </c>
    </row>
    <row r="108" spans="1:1" x14ac:dyDescent="0.3">
      <c r="A108" s="7" t="s">
        <v>58</v>
      </c>
    </row>
    <row r="110" spans="1:1" x14ac:dyDescent="0.3">
      <c r="A110" s="7" t="s">
        <v>59</v>
      </c>
    </row>
    <row r="112" spans="1:1" x14ac:dyDescent="0.3">
      <c r="A112" s="7" t="s">
        <v>60</v>
      </c>
    </row>
    <row r="114" spans="1:1" x14ac:dyDescent="0.3">
      <c r="A114" s="7" t="s">
        <v>61</v>
      </c>
    </row>
    <row r="115" spans="1:1" x14ac:dyDescent="0.3">
      <c r="A115" s="6"/>
    </row>
    <row r="116" spans="1:1" x14ac:dyDescent="0.3">
      <c r="A116" s="6"/>
    </row>
    <row r="117" spans="1:1" x14ac:dyDescent="0.3">
      <c r="A117" s="6"/>
    </row>
    <row r="118" spans="1:1" x14ac:dyDescent="0.3">
      <c r="A118" s="6" t="s">
        <v>62</v>
      </c>
    </row>
    <row r="119" spans="1:1" x14ac:dyDescent="0.3">
      <c r="A119" s="7" t="s">
        <v>63</v>
      </c>
    </row>
    <row r="121" spans="1:1" x14ac:dyDescent="0.3">
      <c r="A121" s="7" t="s">
        <v>64</v>
      </c>
    </row>
    <row r="122" spans="1:1" x14ac:dyDescent="0.3">
      <c r="A122" s="7" t="s">
        <v>65</v>
      </c>
    </row>
    <row r="123" spans="1:1" x14ac:dyDescent="0.3">
      <c r="A123" s="7" t="s">
        <v>66</v>
      </c>
    </row>
    <row r="125" spans="1:1" x14ac:dyDescent="0.3">
      <c r="A125" s="7" t="s">
        <v>67</v>
      </c>
    </row>
    <row r="127" spans="1:1" x14ac:dyDescent="0.3">
      <c r="A127" s="7" t="s">
        <v>68</v>
      </c>
    </row>
    <row r="129" spans="1:1" x14ac:dyDescent="0.3">
      <c r="A129" s="7" t="s">
        <v>69</v>
      </c>
    </row>
    <row r="131" spans="1:1" x14ac:dyDescent="0.3">
      <c r="A131" s="7"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3A44-6DA1-4260-B0F2-DE5E59A5E379}">
  <dimension ref="A3:G48"/>
  <sheetViews>
    <sheetView tabSelected="1" topLeftCell="A4" zoomScale="66" zoomScaleNormal="66" workbookViewId="0">
      <selection activeCell="I31" sqref="I31"/>
    </sheetView>
  </sheetViews>
  <sheetFormatPr defaultRowHeight="14.4" x14ac:dyDescent="0.3"/>
  <cols>
    <col min="1" max="1" width="13.21875" bestFit="1" customWidth="1"/>
    <col min="2" max="2" width="27.21875" customWidth="1"/>
    <col min="3" max="3" width="28" customWidth="1"/>
    <col min="4" max="4" width="23.6640625" customWidth="1"/>
    <col min="5" max="5" width="12.44140625" bestFit="1" customWidth="1"/>
    <col min="6" max="6" width="19.33203125" customWidth="1"/>
    <col min="7" max="7" width="20.21875" customWidth="1"/>
  </cols>
  <sheetData>
    <row r="3" spans="1:7" x14ac:dyDescent="0.3">
      <c r="A3" s="14" t="s">
        <v>71</v>
      </c>
      <c r="B3" t="s">
        <v>102</v>
      </c>
      <c r="F3" s="17" t="s">
        <v>109</v>
      </c>
      <c r="G3" s="17" t="s">
        <v>110</v>
      </c>
    </row>
    <row r="4" spans="1:7" x14ac:dyDescent="0.3">
      <c r="A4" s="15" t="s">
        <v>86</v>
      </c>
      <c r="B4">
        <v>-0.37428571428571494</v>
      </c>
      <c r="F4" s="18" t="s">
        <v>73</v>
      </c>
      <c r="G4" s="18">
        <v>3080839.86</v>
      </c>
    </row>
    <row r="5" spans="1:7" x14ac:dyDescent="0.3">
      <c r="A5" s="15" t="s">
        <v>79</v>
      </c>
      <c r="B5">
        <v>-4.306111111111111</v>
      </c>
      <c r="F5" s="18" t="s">
        <v>75</v>
      </c>
      <c r="G5" s="18">
        <v>-60271.32</v>
      </c>
    </row>
    <row r="6" spans="1:7" x14ac:dyDescent="0.3">
      <c r="A6" s="15" t="s">
        <v>81</v>
      </c>
      <c r="B6">
        <v>0.34999999999999959</v>
      </c>
      <c r="F6" s="18" t="s">
        <v>74</v>
      </c>
      <c r="G6" s="18">
        <v>3020568.54</v>
      </c>
    </row>
    <row r="7" spans="1:7" x14ac:dyDescent="0.3">
      <c r="A7" s="15" t="s">
        <v>82</v>
      </c>
      <c r="B7">
        <v>-2.3664000000000001</v>
      </c>
    </row>
    <row r="8" spans="1:7" x14ac:dyDescent="0.3">
      <c r="A8" s="15" t="s">
        <v>77</v>
      </c>
      <c r="B8">
        <v>-2.9154999999999993</v>
      </c>
    </row>
    <row r="9" spans="1:7" x14ac:dyDescent="0.3">
      <c r="A9" s="15" t="s">
        <v>104</v>
      </c>
      <c r="B9">
        <v>-1.9216999999999993</v>
      </c>
    </row>
    <row r="13" spans="1:7" x14ac:dyDescent="0.3">
      <c r="B13">
        <f>COUNTIFS(B4:B8,"&gt;=-5",B4:B8,"&lt;=5")</f>
        <v>5</v>
      </c>
    </row>
    <row r="15" spans="1:7" x14ac:dyDescent="0.3">
      <c r="A15" s="14" t="s">
        <v>71</v>
      </c>
      <c r="B15" t="s">
        <v>98</v>
      </c>
      <c r="C15" t="s">
        <v>97</v>
      </c>
      <c r="D15" t="s">
        <v>108</v>
      </c>
    </row>
    <row r="16" spans="1:7" x14ac:dyDescent="0.3">
      <c r="A16" s="15" t="s">
        <v>86</v>
      </c>
      <c r="B16">
        <v>469924.88322000002</v>
      </c>
      <c r="C16">
        <v>476863.21000000008</v>
      </c>
      <c r="D16">
        <v>-6938.3267800000613</v>
      </c>
    </row>
    <row r="17" spans="1:7" x14ac:dyDescent="0.3">
      <c r="A17" s="15" t="s">
        <v>79</v>
      </c>
      <c r="B17">
        <v>579626.85630499991</v>
      </c>
      <c r="C17">
        <v>599259.40999999992</v>
      </c>
      <c r="D17">
        <v>-19632.55369500001</v>
      </c>
    </row>
    <row r="18" spans="1:7" x14ac:dyDescent="0.3">
      <c r="A18" s="15" t="s">
        <v>81</v>
      </c>
      <c r="B18">
        <v>715768.88606299995</v>
      </c>
      <c r="C18">
        <v>715419.45</v>
      </c>
      <c r="D18">
        <v>349.43606300000101</v>
      </c>
    </row>
    <row r="19" spans="1:7" x14ac:dyDescent="0.3">
      <c r="A19" s="15" t="s">
        <v>82</v>
      </c>
      <c r="B19">
        <v>720364.02011399996</v>
      </c>
      <c r="C19">
        <v>725453.53999999992</v>
      </c>
      <c r="D19">
        <v>-5089.5198859999655</v>
      </c>
    </row>
    <row r="20" spans="1:7" x14ac:dyDescent="0.3">
      <c r="A20" s="15" t="s">
        <v>77</v>
      </c>
      <c r="B20">
        <v>534883.891695</v>
      </c>
      <c r="C20">
        <v>563844.25</v>
      </c>
      <c r="D20">
        <v>-28960.358305000002</v>
      </c>
    </row>
    <row r="21" spans="1:7" x14ac:dyDescent="0.3">
      <c r="A21" s="15" t="s">
        <v>104</v>
      </c>
      <c r="B21">
        <v>3020568.537397</v>
      </c>
      <c r="C21">
        <v>3080839.86</v>
      </c>
      <c r="D21">
        <v>-60271.322602999862</v>
      </c>
    </row>
    <row r="25" spans="1:7" x14ac:dyDescent="0.3">
      <c r="E25" s="14" t="s">
        <v>72</v>
      </c>
      <c r="F25" t="s">
        <v>97</v>
      </c>
      <c r="G25" t="s">
        <v>98</v>
      </c>
    </row>
    <row r="26" spans="1:7" x14ac:dyDescent="0.3">
      <c r="B26" s="14" t="s">
        <v>72</v>
      </c>
      <c r="C26" t="s">
        <v>102</v>
      </c>
      <c r="E26" s="15" t="s">
        <v>85</v>
      </c>
      <c r="F26">
        <v>309801.51999999996</v>
      </c>
      <c r="G26">
        <v>299902.86156600004</v>
      </c>
    </row>
    <row r="27" spans="1:7" x14ac:dyDescent="0.3">
      <c r="B27" s="15" t="s">
        <v>85</v>
      </c>
      <c r="C27">
        <v>-3.992</v>
      </c>
      <c r="E27" s="15" t="s">
        <v>83</v>
      </c>
      <c r="F27">
        <v>272160.36</v>
      </c>
      <c r="G27">
        <v>262344.68188000005</v>
      </c>
    </row>
    <row r="28" spans="1:7" x14ac:dyDescent="0.3">
      <c r="B28" s="15" t="s">
        <v>83</v>
      </c>
      <c r="C28">
        <v>-3.3311111111111109</v>
      </c>
      <c r="E28" s="15" t="s">
        <v>90</v>
      </c>
      <c r="F28">
        <v>295081.42</v>
      </c>
      <c r="G28">
        <v>265819.911723</v>
      </c>
    </row>
    <row r="29" spans="1:7" x14ac:dyDescent="0.3">
      <c r="B29" s="15" t="s">
        <v>90</v>
      </c>
      <c r="C29">
        <v>-14.991111111111113</v>
      </c>
      <c r="E29" s="15" t="s">
        <v>80</v>
      </c>
      <c r="F29">
        <v>324507.43</v>
      </c>
      <c r="G29">
        <v>331299.47276000003</v>
      </c>
    </row>
    <row r="30" spans="1:7" x14ac:dyDescent="0.3">
      <c r="B30" s="15" t="s">
        <v>80</v>
      </c>
      <c r="C30">
        <v>7.3758333333333352</v>
      </c>
      <c r="E30" s="15" t="s">
        <v>93</v>
      </c>
      <c r="F30">
        <v>152348.97999999998</v>
      </c>
      <c r="G30">
        <v>159247.74502</v>
      </c>
    </row>
    <row r="31" spans="1:7" x14ac:dyDescent="0.3">
      <c r="B31" s="15" t="s">
        <v>93</v>
      </c>
      <c r="C31">
        <v>3.3820000000000001</v>
      </c>
      <c r="E31" s="15" t="s">
        <v>78</v>
      </c>
      <c r="F31">
        <v>258878.8</v>
      </c>
      <c r="G31">
        <v>269450.02023999998</v>
      </c>
    </row>
    <row r="32" spans="1:7" x14ac:dyDescent="0.3">
      <c r="B32" s="15" t="s">
        <v>78</v>
      </c>
      <c r="C32">
        <v>6.6137500000000005</v>
      </c>
      <c r="E32" s="15" t="s">
        <v>91</v>
      </c>
      <c r="F32">
        <v>130667.15</v>
      </c>
      <c r="G32">
        <v>134780.751835</v>
      </c>
    </row>
    <row r="33" spans="1:7" x14ac:dyDescent="0.3">
      <c r="B33" s="15" t="s">
        <v>91</v>
      </c>
      <c r="C33">
        <v>-2.6083333333333325</v>
      </c>
      <c r="E33" s="15" t="s">
        <v>89</v>
      </c>
      <c r="F33">
        <v>186231.11</v>
      </c>
      <c r="G33">
        <v>182628.99625999999</v>
      </c>
    </row>
    <row r="34" spans="1:7" x14ac:dyDescent="0.3">
      <c r="B34" s="15" t="s">
        <v>89</v>
      </c>
      <c r="C34">
        <v>0.73333333333333339</v>
      </c>
      <c r="E34" s="15" t="s">
        <v>92</v>
      </c>
      <c r="F34">
        <v>159652</v>
      </c>
      <c r="G34">
        <v>131819.116625</v>
      </c>
    </row>
    <row r="35" spans="1:7" x14ac:dyDescent="0.3">
      <c r="B35" s="15" t="s">
        <v>92</v>
      </c>
      <c r="C35">
        <v>-26.524000000000001</v>
      </c>
      <c r="E35" s="15" t="s">
        <v>88</v>
      </c>
      <c r="F35">
        <v>238500.24999999997</v>
      </c>
      <c r="G35">
        <v>239830.86851</v>
      </c>
    </row>
    <row r="36" spans="1:7" x14ac:dyDescent="0.3">
      <c r="B36" s="15" t="s">
        <v>88</v>
      </c>
      <c r="C36">
        <v>0.23666666666666636</v>
      </c>
      <c r="E36" s="15" t="s">
        <v>84</v>
      </c>
      <c r="F36">
        <v>389551.4</v>
      </c>
      <c r="G36">
        <v>375244.26088000002</v>
      </c>
    </row>
    <row r="37" spans="1:7" x14ac:dyDescent="0.3">
      <c r="B37" s="15" t="s">
        <v>84</v>
      </c>
      <c r="C37">
        <v>-3.2508333333333326</v>
      </c>
      <c r="E37" s="15" t="s">
        <v>87</v>
      </c>
      <c r="F37">
        <v>363459.44</v>
      </c>
      <c r="G37">
        <v>368199.85009800002</v>
      </c>
    </row>
    <row r="38" spans="1:7" x14ac:dyDescent="0.3">
      <c r="B38" s="15" t="s">
        <v>87</v>
      </c>
      <c r="C38">
        <v>2.9816666666666678</v>
      </c>
      <c r="E38" s="15" t="s">
        <v>104</v>
      </c>
      <c r="F38">
        <v>3080839.8599999994</v>
      </c>
      <c r="G38">
        <v>3020568.537397</v>
      </c>
    </row>
    <row r="39" spans="1:7" x14ac:dyDescent="0.3">
      <c r="B39" s="15" t="s">
        <v>104</v>
      </c>
      <c r="C39">
        <v>-1.9217000000000004</v>
      </c>
    </row>
    <row r="42" spans="1:7" x14ac:dyDescent="0.3">
      <c r="A42" s="14" t="s">
        <v>103</v>
      </c>
      <c r="B42" t="s">
        <v>98</v>
      </c>
      <c r="C42" t="s">
        <v>97</v>
      </c>
    </row>
    <row r="43" spans="1:7" x14ac:dyDescent="0.3">
      <c r="A43" s="15" t="s">
        <v>86</v>
      </c>
      <c r="B43">
        <v>469924.88322000002</v>
      </c>
      <c r="C43">
        <v>476863.21000000008</v>
      </c>
    </row>
    <row r="44" spans="1:7" x14ac:dyDescent="0.3">
      <c r="A44" s="15" t="s">
        <v>79</v>
      </c>
      <c r="B44">
        <v>579626.85630499991</v>
      </c>
      <c r="C44">
        <v>599259.40999999992</v>
      </c>
    </row>
    <row r="45" spans="1:7" x14ac:dyDescent="0.3">
      <c r="A45" s="15" t="s">
        <v>81</v>
      </c>
      <c r="B45">
        <v>715768.88606299995</v>
      </c>
      <c r="C45">
        <v>715419.45</v>
      </c>
    </row>
    <row r="46" spans="1:7" x14ac:dyDescent="0.3">
      <c r="A46" s="15" t="s">
        <v>82</v>
      </c>
      <c r="B46">
        <v>720364.02011399996</v>
      </c>
      <c r="C46">
        <v>725453.53999999992</v>
      </c>
    </row>
    <row r="47" spans="1:7" x14ac:dyDescent="0.3">
      <c r="A47" s="15" t="s">
        <v>77</v>
      </c>
      <c r="B47">
        <v>534883.891695</v>
      </c>
      <c r="C47">
        <v>563844.25</v>
      </c>
    </row>
    <row r="48" spans="1:7" x14ac:dyDescent="0.3">
      <c r="A48" s="15" t="s">
        <v>104</v>
      </c>
      <c r="B48">
        <v>3020568.537397</v>
      </c>
      <c r="C48">
        <v>3080839.86</v>
      </c>
    </row>
  </sheetData>
  <conditionalFormatting sqref="E25:G3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2DA20-8669-45EC-86DB-71A24F4FD989}">
  <dimension ref="V19:AB25"/>
  <sheetViews>
    <sheetView zoomScale="55" zoomScaleNormal="94" workbookViewId="0">
      <selection activeCell="H61" sqref="H61"/>
    </sheetView>
  </sheetViews>
  <sheetFormatPr defaultRowHeight="14.4" x14ac:dyDescent="0.3"/>
  <cols>
    <col min="1" max="21" width="8.88671875" style="16"/>
    <col min="22" max="22" width="13.44140625" style="16" bestFit="1" customWidth="1"/>
    <col min="23" max="23" width="19.44140625" style="16" bestFit="1" customWidth="1"/>
    <col min="24" max="24" width="21.109375" style="16" customWidth="1"/>
    <col min="25" max="25" width="47.5546875" style="16" customWidth="1"/>
    <col min="26" max="26" width="7" style="16" hidden="1" customWidth="1"/>
    <col min="27" max="27" width="14.6640625" style="16" hidden="1" customWidth="1"/>
    <col min="28" max="28" width="8.88671875" style="16" hidden="1" customWidth="1"/>
    <col min="29" max="16384" width="8.88671875" style="16"/>
  </cols>
  <sheetData>
    <row r="19" spans="22:23" x14ac:dyDescent="0.3">
      <c r="V19" s="14" t="s">
        <v>71</v>
      </c>
      <c r="W19" t="s">
        <v>102</v>
      </c>
    </row>
    <row r="20" spans="22:23" x14ac:dyDescent="0.3">
      <c r="V20" s="15" t="s">
        <v>81</v>
      </c>
      <c r="W20">
        <v>0.34999999999999959</v>
      </c>
    </row>
    <row r="21" spans="22:23" x14ac:dyDescent="0.3">
      <c r="V21" s="15" t="s">
        <v>86</v>
      </c>
      <c r="W21">
        <v>-0.37428571428571494</v>
      </c>
    </row>
    <row r="22" spans="22:23" x14ac:dyDescent="0.3">
      <c r="V22" s="15" t="s">
        <v>82</v>
      </c>
      <c r="W22">
        <v>-2.3664000000000001</v>
      </c>
    </row>
    <row r="23" spans="22:23" x14ac:dyDescent="0.3">
      <c r="V23" s="15" t="s">
        <v>77</v>
      </c>
      <c r="W23">
        <v>-2.9154999999999993</v>
      </c>
    </row>
    <row r="24" spans="22:23" x14ac:dyDescent="0.3">
      <c r="V24" s="15" t="s">
        <v>79</v>
      </c>
      <c r="W24">
        <v>-4.306111111111111</v>
      </c>
    </row>
    <row r="25" spans="22:23" x14ac:dyDescent="0.3">
      <c r="V25" s="15" t="s">
        <v>104</v>
      </c>
      <c r="W25">
        <v>-1.9216999999999993</v>
      </c>
    </row>
  </sheetData>
  <conditionalFormatting sqref="W19">
    <cfRule type="iconSet" priority="3">
      <iconSet iconSet="3TrafficLights2">
        <cfvo type="percent" val="0"/>
        <cfvo type="percent" val="33"/>
        <cfvo type="percent" val="67"/>
      </iconSet>
    </cfRule>
  </conditionalFormatting>
  <conditionalFormatting pivot="1" sqref="W20:W24">
    <cfRule type="iconSet" priority="2">
      <iconSet iconSet="3TrafficLights2">
        <cfvo type="percent" val="0"/>
        <cfvo type="percent" val="33"/>
        <cfvo type="percent" val="67"/>
      </iconSet>
    </cfRule>
  </conditionalFormatting>
  <conditionalFormatting sqref="B55:D67">
    <cfRule type="colorScale" priority="1">
      <colorScale>
        <cfvo type="min"/>
        <cfvo type="percentile" val="50"/>
        <cfvo type="max"/>
        <color rgb="FF63BE7B"/>
        <color rgb="FFFFEB84"/>
        <color rgb="FFF8696B"/>
      </colorScale>
    </cfRule>
  </conditionalFormatting>
  <pageMargins left="0.70866141732283472" right="0.70866141732283472" top="0.74803149606299213" bottom="0.74803149606299213" header="0.31496062992125984" footer="0.31496062992125984"/>
  <pageSetup orientation="landscape"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9D219-6979-42AF-BB41-5C18613E9829}">
  <dimension ref="A1:E33"/>
  <sheetViews>
    <sheetView workbookViewId="0">
      <selection activeCell="H7" sqref="H7"/>
    </sheetView>
  </sheetViews>
  <sheetFormatPr defaultRowHeight="14.4" x14ac:dyDescent="0.3"/>
  <cols>
    <col min="1" max="1" width="10.5546875" bestFit="1" customWidth="1"/>
    <col min="2" max="2" width="12.77734375" bestFit="1" customWidth="1"/>
    <col min="3" max="3" width="12.33203125" bestFit="1" customWidth="1"/>
    <col min="4" max="4" width="14.44140625" bestFit="1" customWidth="1"/>
    <col min="5" max="5" width="26.109375" customWidth="1"/>
  </cols>
  <sheetData>
    <row r="1" spans="1:5" x14ac:dyDescent="0.3">
      <c r="A1" s="14" t="s">
        <v>72</v>
      </c>
      <c r="B1" t="s">
        <v>97</v>
      </c>
      <c r="C1" t="s">
        <v>98</v>
      </c>
      <c r="D1" t="s">
        <v>112</v>
      </c>
      <c r="E1" s="20" t="s">
        <v>114</v>
      </c>
    </row>
    <row r="2" spans="1:5" x14ac:dyDescent="0.3">
      <c r="A2" s="15" t="s">
        <v>85</v>
      </c>
      <c r="B2" s="13">
        <v>309801.51999999996</v>
      </c>
      <c r="C2" s="13">
        <v>299902.86156600004</v>
      </c>
      <c r="D2">
        <v>-9898.6584320000002</v>
      </c>
    </row>
    <row r="3" spans="1:5" x14ac:dyDescent="0.3">
      <c r="A3" s="15" t="s">
        <v>83</v>
      </c>
      <c r="B3" s="13">
        <v>272160.36</v>
      </c>
      <c r="C3" s="13">
        <v>262344.68188000005</v>
      </c>
      <c r="D3">
        <v>-9815.6781169999995</v>
      </c>
    </row>
    <row r="4" spans="1:5" x14ac:dyDescent="0.3">
      <c r="A4" s="15" t="s">
        <v>90</v>
      </c>
      <c r="B4" s="13">
        <v>295081.42</v>
      </c>
      <c r="C4" s="13">
        <v>265819.911723</v>
      </c>
      <c r="D4">
        <v>-29261.508288199999</v>
      </c>
    </row>
    <row r="5" spans="1:5" x14ac:dyDescent="0.3">
      <c r="A5" s="15" t="s">
        <v>80</v>
      </c>
      <c r="B5" s="13">
        <v>324507.43</v>
      </c>
      <c r="C5" s="13">
        <v>331299.47276000003</v>
      </c>
      <c r="D5">
        <v>6792.0427379999965</v>
      </c>
    </row>
    <row r="6" spans="1:5" x14ac:dyDescent="0.3">
      <c r="A6" s="15" t="s">
        <v>93</v>
      </c>
      <c r="B6" s="13">
        <v>152348.97999999998</v>
      </c>
      <c r="C6" s="13">
        <v>159247.74502</v>
      </c>
      <c r="D6">
        <v>6898.7650160000003</v>
      </c>
    </row>
    <row r="7" spans="1:5" x14ac:dyDescent="0.3">
      <c r="A7" s="15" t="s">
        <v>78</v>
      </c>
      <c r="B7" s="13">
        <v>258878.8</v>
      </c>
      <c r="C7" s="13">
        <v>269450.02023999998</v>
      </c>
      <c r="D7">
        <v>10571.220238</v>
      </c>
    </row>
    <row r="8" spans="1:5" x14ac:dyDescent="0.3">
      <c r="A8" s="15" t="s">
        <v>91</v>
      </c>
      <c r="B8" s="13">
        <v>130667.15</v>
      </c>
      <c r="C8" s="13">
        <v>134780.751835</v>
      </c>
      <c r="D8">
        <v>4113.6018309999999</v>
      </c>
    </row>
    <row r="9" spans="1:5" x14ac:dyDescent="0.3">
      <c r="A9" s="15" t="s">
        <v>89</v>
      </c>
      <c r="B9" s="13">
        <v>186231.11</v>
      </c>
      <c r="C9" s="13">
        <v>182628.99625999999</v>
      </c>
      <c r="D9">
        <v>-3602.1137288999989</v>
      </c>
    </row>
    <row r="10" spans="1:5" x14ac:dyDescent="0.3">
      <c r="A10" s="15" t="s">
        <v>92</v>
      </c>
      <c r="B10" s="13">
        <v>159652</v>
      </c>
      <c r="C10" s="13">
        <v>131819.116625</v>
      </c>
      <c r="D10">
        <v>-27832.883377999999</v>
      </c>
    </row>
    <row r="11" spans="1:5" x14ac:dyDescent="0.3">
      <c r="A11" s="15" t="s">
        <v>88</v>
      </c>
      <c r="B11" s="13">
        <v>238500.24999999997</v>
      </c>
      <c r="C11" s="13">
        <v>239830.86851</v>
      </c>
      <c r="D11">
        <v>1330.6185190000015</v>
      </c>
    </row>
    <row r="12" spans="1:5" x14ac:dyDescent="0.3">
      <c r="A12" s="15" t="s">
        <v>84</v>
      </c>
      <c r="B12" s="13">
        <v>389551.4</v>
      </c>
      <c r="C12" s="13">
        <v>375244.26088000002</v>
      </c>
      <c r="D12">
        <v>-14307.139112299999</v>
      </c>
    </row>
    <row r="13" spans="1:5" x14ac:dyDescent="0.3">
      <c r="A13" s="15" t="s">
        <v>87</v>
      </c>
      <c r="B13" s="13">
        <v>363459.44</v>
      </c>
      <c r="C13" s="13">
        <v>368199.85009800002</v>
      </c>
      <c r="D13">
        <v>4740.4100938999973</v>
      </c>
    </row>
    <row r="14" spans="1:5" x14ac:dyDescent="0.3">
      <c r="A14" s="15" t="s">
        <v>104</v>
      </c>
      <c r="B14">
        <v>3080839.8599999994</v>
      </c>
      <c r="C14">
        <v>3020568.537397</v>
      </c>
      <c r="D14">
        <v>-60271.322620500003</v>
      </c>
    </row>
    <row r="33" spans="4:4" x14ac:dyDescent="0.3">
      <c r="D33" s="19" t="s">
        <v>113</v>
      </c>
    </row>
  </sheetData>
  <hyperlinks>
    <hyperlink ref="D33" location="Dashboard!A1" display="Dashboard!A1" xr:uid="{1F0B2045-335B-4814-98BC-A56FD9D73E8B}"/>
  </hyperlinks>
  <pageMargins left="0.7" right="0.7" top="0.75" bottom="0.75" header="0.3" footer="0.3"/>
  <pageSetup orientation="portrait" r:id="rId2"/>
  <drawing r:id="rId3"/>
  <extLst>
    <ext xmlns:x14="http://schemas.microsoft.com/office/spreadsheetml/2009/9/main" uri="{05C60535-1F16-4fd2-B633-F4F36F0B64E0}">
      <x14:sparklineGroups xmlns:xm="http://schemas.microsoft.com/office/excel/2006/main">
        <x14:sparklineGroup displayEmptyCellsAs="gap" xr2:uid="{03A5C361-DAC1-47B4-AB22-A235E70A1A41}">
          <x14:colorSeries rgb="FF376092"/>
          <x14:colorNegative rgb="FFD00000"/>
          <x14:colorAxis rgb="FF000000"/>
          <x14:colorMarkers rgb="FFD00000"/>
          <x14:colorFirst rgb="FFD00000"/>
          <x14:colorLast rgb="FFD00000"/>
          <x14:colorHigh rgb="FFD00000"/>
          <x14:colorLow rgb="FFD00000"/>
          <x14:sparklines>
            <x14:sparkline>
              <xm:f>'Department Detail'!D2:D13</xm:f>
              <xm:sqref>E2</xm:sqref>
            </x14:sparkline>
            <x14:sparkline>
              <xm:f>'Department Detail'!D3:D14</xm:f>
              <xm:sqref>E3</xm:sqref>
            </x14:sparkline>
            <x14:sparkline>
              <xm:f>'Department Detail'!D4:D15</xm:f>
              <xm:sqref>E4</xm:sqref>
            </x14:sparkline>
            <x14:sparkline>
              <xm:f>'Department Detail'!D5:D16</xm:f>
              <xm:sqref>E5</xm:sqref>
            </x14:sparkline>
            <x14:sparkline>
              <xm:f>'Department Detail'!D6:D17</xm:f>
              <xm:sqref>E6</xm:sqref>
            </x14:sparkline>
            <x14:sparkline>
              <xm:f>'Department Detail'!D7:D18</xm:f>
              <xm:sqref>E7</xm:sqref>
            </x14:sparkline>
            <x14:sparkline>
              <xm:f>'Department Detail'!D8:D19</xm:f>
              <xm:sqref>E8</xm:sqref>
            </x14:sparkline>
            <x14:sparkline>
              <xm:f>'Department Detail'!D9:D20</xm:f>
              <xm:sqref>E9</xm:sqref>
            </x14:sparkline>
            <x14:sparkline>
              <xm:f>'Department Detail'!D10:D21</xm:f>
              <xm:sqref>E10</xm:sqref>
            </x14:sparkline>
            <x14:sparkline>
              <xm:f>'Department Detail'!D11:D22</xm:f>
              <xm:sqref>E11</xm:sqref>
            </x14:sparkline>
            <x14:sparkline>
              <xm:f>'Department Detail'!D12:D23</xm:f>
              <xm:sqref>E12</xm:sqref>
            </x14:sparkline>
            <x14:sparkline>
              <xm:f>'Department Detail'!D13:D24</xm:f>
              <xm:sqref>E13</xm:sqref>
            </x14:sparkline>
          </x14:sparklines>
        </x14:sparklineGroup>
      </x14:sparklineGroup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03AF-9975-411D-A8DD-7445357A1DC0}">
  <dimension ref="A1:J101"/>
  <sheetViews>
    <sheetView topLeftCell="B1" workbookViewId="0">
      <selection activeCell="J9" sqref="J9"/>
    </sheetView>
  </sheetViews>
  <sheetFormatPr defaultRowHeight="14.4" x14ac:dyDescent="0.3"/>
  <cols>
    <col min="7" max="7" width="18.44140625" customWidth="1"/>
    <col min="9" max="9" width="12.5546875" customWidth="1"/>
    <col min="10" max="10" width="15.6640625" customWidth="1"/>
  </cols>
  <sheetData>
    <row r="1" spans="1:10" ht="29.4" thickBot="1" x14ac:dyDescent="0.35">
      <c r="A1" s="8" t="s">
        <v>71</v>
      </c>
      <c r="B1" s="9" t="s">
        <v>72</v>
      </c>
      <c r="C1" s="9" t="s">
        <v>73</v>
      </c>
      <c r="D1" s="9" t="s">
        <v>74</v>
      </c>
      <c r="E1" s="9" t="s">
        <v>75</v>
      </c>
      <c r="F1" s="9" t="s">
        <v>76</v>
      </c>
      <c r="G1" s="11" t="s">
        <v>111</v>
      </c>
      <c r="I1" s="11"/>
      <c r="J1" s="11"/>
    </row>
    <row r="2" spans="1:10" ht="15" thickBot="1" x14ac:dyDescent="0.35">
      <c r="A2" s="2" t="s">
        <v>77</v>
      </c>
      <c r="B2" s="2" t="s">
        <v>78</v>
      </c>
      <c r="C2" s="10">
        <v>19901.599999999999</v>
      </c>
      <c r="D2" s="10">
        <v>22025.37427</v>
      </c>
      <c r="E2" s="10">
        <v>2123.7742710000002</v>
      </c>
      <c r="F2" s="10">
        <v>10.67</v>
      </c>
      <c r="G2" t="str" cm="1">
        <f t="array" ref="G2">_xlfn.IFS(F2&lt;-10, "Significantly Over", AND(F2&gt;=-10, F2&lt;-5), "Slightly Over", AND(F2&gt;=-5, F2&lt;=5), "Within Budget", F2&gt;5, "Under Budget")</f>
        <v>Under Budget</v>
      </c>
      <c r="I2">
        <f>AVERAGE(F:F)</f>
        <v>-1.9217000000000013</v>
      </c>
    </row>
    <row r="3" spans="1:10" ht="15" thickBot="1" x14ac:dyDescent="0.35">
      <c r="A3" s="2" t="s">
        <v>79</v>
      </c>
      <c r="B3" s="2" t="s">
        <v>80</v>
      </c>
      <c r="C3" s="10">
        <v>32336.51</v>
      </c>
      <c r="D3" s="10">
        <v>34290.981310000003</v>
      </c>
      <c r="E3" s="10">
        <v>1954.471305</v>
      </c>
      <c r="F3" s="10">
        <v>6.04</v>
      </c>
      <c r="G3" t="str" cm="1">
        <f t="array" ref="G3">_xlfn.IFS(F3&lt;-10, "Significantly Over", AND(F3&gt;=-10, F3&lt;-5), "Slightly Over", AND(F3&gt;=-5, F3&lt;=5), "Within Budget", F3&gt;5, "Under Budget")</f>
        <v>Under Budget</v>
      </c>
    </row>
    <row r="4" spans="1:10" ht="15" thickBot="1" x14ac:dyDescent="0.35">
      <c r="A4" s="2" t="s">
        <v>81</v>
      </c>
      <c r="B4" s="2" t="s">
        <v>80</v>
      </c>
      <c r="C4" s="10">
        <v>19021.61</v>
      </c>
      <c r="D4" s="10">
        <v>24880.731889999999</v>
      </c>
      <c r="E4" s="10">
        <v>5859.1218920000001</v>
      </c>
      <c r="F4" s="10">
        <v>30.8</v>
      </c>
      <c r="G4" t="str" cm="1">
        <f t="array" ref="G4">_xlfn.IFS(F4&lt;-10, "Significantly Over", AND(F4&gt;=-10, F4&lt;-5), "Slightly Over", AND(F4&gt;=-5, F4&lt;=5), "Within Budget", F4&gt;5, "Under Budget")</f>
        <v>Under Budget</v>
      </c>
    </row>
    <row r="5" spans="1:10" ht="15" thickBot="1" x14ac:dyDescent="0.35">
      <c r="A5" s="2" t="s">
        <v>81</v>
      </c>
      <c r="B5" s="2" t="s">
        <v>80</v>
      </c>
      <c r="C5" s="10">
        <v>16433.02</v>
      </c>
      <c r="D5" s="10">
        <v>19533.20678</v>
      </c>
      <c r="E5" s="10">
        <v>3100.1867769999999</v>
      </c>
      <c r="F5" s="10">
        <v>18.87</v>
      </c>
      <c r="G5" t="str" cm="1">
        <f t="array" ref="G5">_xlfn.IFS(F5&lt;-10, "Significantly Over", AND(F5&gt;=-10, F5&lt;-5), "Slightly Over", AND(F5&gt;=-5, F5&lt;=5), "Within Budget", F5&gt;5, "Under Budget")</f>
        <v>Under Budget</v>
      </c>
    </row>
    <row r="6" spans="1:10" ht="29.4" thickBot="1" x14ac:dyDescent="0.35">
      <c r="A6" s="2" t="s">
        <v>82</v>
      </c>
      <c r="B6" s="2" t="s">
        <v>83</v>
      </c>
      <c r="C6" s="10">
        <v>36060.78</v>
      </c>
      <c r="D6" s="10">
        <v>45903.446329999999</v>
      </c>
      <c r="E6" s="10">
        <v>9842.6663270000008</v>
      </c>
      <c r="F6" s="10">
        <v>27.29</v>
      </c>
      <c r="G6" t="str" cm="1">
        <f t="array" ref="G6">_xlfn.IFS(F6&lt;-10, "Significantly Over", AND(F6&gt;=-10, F6&lt;-5), "Slightly Over", AND(F6&gt;=-5, F6&lt;=5), "Within Budget", F6&gt;5, "Under Budget")</f>
        <v>Under Budget</v>
      </c>
    </row>
    <row r="7" spans="1:10" ht="29.4" thickBot="1" x14ac:dyDescent="0.35">
      <c r="A7" s="2" t="s">
        <v>82</v>
      </c>
      <c r="B7" s="2" t="s">
        <v>80</v>
      </c>
      <c r="C7" s="10">
        <v>23037.02</v>
      </c>
      <c r="D7" s="10">
        <v>18714.110570000001</v>
      </c>
      <c r="E7" s="10">
        <v>-4322.9094279999999</v>
      </c>
      <c r="F7" s="10">
        <v>-18.77</v>
      </c>
      <c r="G7" t="str" cm="1">
        <f t="array" ref="G7">_xlfn.IFS(F7&lt;-10, "Significantly Over", AND(F7&gt;=-10, F7&lt;-5), "Slightly Over", AND(F7&gt;=-5, F7&lt;=5), "Within Budget", F7&gt;5, "Under Budget")</f>
        <v>Significantly Over</v>
      </c>
    </row>
    <row r="8" spans="1:10" ht="29.4" thickBot="1" x14ac:dyDescent="0.35">
      <c r="A8" s="2" t="s">
        <v>79</v>
      </c>
      <c r="B8" s="2" t="s">
        <v>84</v>
      </c>
      <c r="C8" s="10">
        <v>33610.559999999998</v>
      </c>
      <c r="D8" s="10">
        <v>30793.580590000001</v>
      </c>
      <c r="E8" s="10">
        <v>-2816.9794069999998</v>
      </c>
      <c r="F8" s="10">
        <v>-8.3800000000000008</v>
      </c>
      <c r="G8" t="str" cm="1">
        <f t="array" ref="G8">_xlfn.IFS(F8&lt;-10, "Significantly Over", AND(F8&gt;=-10, F8&lt;-5), "Slightly Over", AND(F8&gt;=-5, F8&lt;=5), "Within Budget", F8&gt;5, "Under Budget")</f>
        <v>Slightly Over</v>
      </c>
    </row>
    <row r="9" spans="1:10" ht="15" thickBot="1" x14ac:dyDescent="0.35">
      <c r="A9" s="2" t="s">
        <v>79</v>
      </c>
      <c r="B9" s="2" t="s">
        <v>85</v>
      </c>
      <c r="C9" s="10">
        <v>27329.87</v>
      </c>
      <c r="D9" s="10">
        <v>25006.813040000001</v>
      </c>
      <c r="E9" s="10">
        <v>-2323.056963</v>
      </c>
      <c r="F9" s="10">
        <v>-8.5</v>
      </c>
      <c r="G9" t="str" cm="1">
        <f t="array" ref="G9">_xlfn.IFS(F9&lt;-10, "Significantly Over", AND(F9&gt;=-10, F9&lt;-5), "Slightly Over", AND(F9&gt;=-5, F9&lt;=5), "Within Budget", F9&gt;5, "Under Budget")</f>
        <v>Slightly Over</v>
      </c>
    </row>
    <row r="10" spans="1:10" ht="29.4" thickBot="1" x14ac:dyDescent="0.35">
      <c r="A10" s="2" t="s">
        <v>86</v>
      </c>
      <c r="B10" s="2" t="s">
        <v>87</v>
      </c>
      <c r="C10" s="10">
        <v>49374.06</v>
      </c>
      <c r="D10" s="10">
        <v>48690.316140000003</v>
      </c>
      <c r="E10" s="10">
        <v>-683.74385959999995</v>
      </c>
      <c r="F10" s="10">
        <v>-1.38</v>
      </c>
      <c r="G10" t="str" cm="1">
        <f t="array" ref="G10">_xlfn.IFS(F10&lt;-10, "Significantly Over", AND(F10&gt;=-10, F10&lt;-5), "Slightly Over", AND(F10&gt;=-5, F10&lt;=5), "Within Budget", F10&gt;5, "Under Budget")</f>
        <v>Within Budget</v>
      </c>
    </row>
    <row r="11" spans="1:10" ht="29.4" thickBot="1" x14ac:dyDescent="0.35">
      <c r="A11" s="2" t="s">
        <v>82</v>
      </c>
      <c r="B11" s="2" t="s">
        <v>78</v>
      </c>
      <c r="C11" s="10">
        <v>15983.23</v>
      </c>
      <c r="D11" s="10">
        <v>22703.191279999999</v>
      </c>
      <c r="E11" s="10">
        <v>6719.961276</v>
      </c>
      <c r="F11" s="10">
        <v>42.04</v>
      </c>
      <c r="G11" t="str" cm="1">
        <f t="array" ref="G11">_xlfn.IFS(F11&lt;-10, "Significantly Over", AND(F11&gt;=-10, F11&lt;-5), "Slightly Over", AND(F11&gt;=-5, F11&lt;=5), "Within Budget", F11&gt;5, "Under Budget")</f>
        <v>Under Budget</v>
      </c>
    </row>
    <row r="12" spans="1:10" ht="15" thickBot="1" x14ac:dyDescent="0.35">
      <c r="A12" s="2" t="s">
        <v>77</v>
      </c>
      <c r="B12" s="2" t="s">
        <v>85</v>
      </c>
      <c r="C12" s="10">
        <v>28583.94</v>
      </c>
      <c r="D12" s="10">
        <v>23299.781879999999</v>
      </c>
      <c r="E12" s="10">
        <v>-5284.1581210000004</v>
      </c>
      <c r="F12" s="10">
        <v>-18.489999999999998</v>
      </c>
      <c r="G12" t="str" cm="1">
        <f t="array" ref="G12">_xlfn.IFS(F12&lt;-10, "Significantly Over", AND(F12&gt;=-10, F12&lt;-5), "Slightly Over", AND(F12&gt;=-5, F12&lt;=5), "Within Budget", F12&gt;5, "Under Budget")</f>
        <v>Significantly Over</v>
      </c>
    </row>
    <row r="13" spans="1:10" ht="15" thickBot="1" x14ac:dyDescent="0.35">
      <c r="A13" s="2" t="s">
        <v>81</v>
      </c>
      <c r="B13" s="2" t="s">
        <v>88</v>
      </c>
      <c r="C13" s="10">
        <v>37218.269999999997</v>
      </c>
      <c r="D13" s="10">
        <v>42738.274140000001</v>
      </c>
      <c r="E13" s="10">
        <v>5520.0041410000003</v>
      </c>
      <c r="F13" s="10">
        <v>14.83</v>
      </c>
      <c r="G13" t="str" cm="1">
        <f t="array" ref="G13">_xlfn.IFS(F13&lt;-10, "Significantly Over", AND(F13&gt;=-10, F13&lt;-5), "Slightly Over", AND(F13&gt;=-5, F13&lt;=5), "Within Budget", F13&gt;5, "Under Budget")</f>
        <v>Under Budget</v>
      </c>
    </row>
    <row r="14" spans="1:10" ht="15" thickBot="1" x14ac:dyDescent="0.35">
      <c r="A14" s="2" t="s">
        <v>79</v>
      </c>
      <c r="B14" s="2" t="s">
        <v>78</v>
      </c>
      <c r="C14" s="10">
        <v>25821.8</v>
      </c>
      <c r="D14" s="10">
        <v>23928.003659999998</v>
      </c>
      <c r="E14" s="10">
        <v>-1893.7963380000001</v>
      </c>
      <c r="F14" s="10">
        <v>-7.33</v>
      </c>
      <c r="G14" t="str" cm="1">
        <f t="array" ref="G14">_xlfn.IFS(F14&lt;-10, "Significantly Over", AND(F14&gt;=-10, F14&lt;-5), "Slightly Over", AND(F14&gt;=-5, F14&lt;=5), "Within Budget", F14&gt;5, "Under Budget")</f>
        <v>Slightly Over</v>
      </c>
    </row>
    <row r="15" spans="1:10" ht="15" thickBot="1" x14ac:dyDescent="0.35">
      <c r="A15" s="2" t="s">
        <v>81</v>
      </c>
      <c r="B15" s="2" t="s">
        <v>85</v>
      </c>
      <c r="C15" s="10">
        <v>48987.99</v>
      </c>
      <c r="D15" s="10">
        <v>51025.097670000003</v>
      </c>
      <c r="E15" s="10">
        <v>2037.107673</v>
      </c>
      <c r="F15" s="10">
        <v>4.16</v>
      </c>
      <c r="G15" t="str" cm="1">
        <f t="array" ref="G15">_xlfn.IFS(F15&lt;-10, "Significantly Over", AND(F15&gt;=-10, F15&lt;-5), "Slightly Over", AND(F15&gt;=-5, F15&lt;=5), "Within Budget", F15&gt;5, "Under Budget")</f>
        <v>Within Budget</v>
      </c>
    </row>
    <row r="16" spans="1:10" ht="15" thickBot="1" x14ac:dyDescent="0.35">
      <c r="A16" s="2" t="s">
        <v>81</v>
      </c>
      <c r="B16" s="2" t="s">
        <v>78</v>
      </c>
      <c r="C16" s="10">
        <v>38875.51</v>
      </c>
      <c r="D16" s="10">
        <v>41526.320659999998</v>
      </c>
      <c r="E16" s="10">
        <v>2650.810665</v>
      </c>
      <c r="F16" s="10">
        <v>6.82</v>
      </c>
      <c r="G16" t="str" cm="1">
        <f t="array" ref="G16">_xlfn.IFS(F16&lt;-10, "Significantly Over", AND(F16&gt;=-10, F16&lt;-5), "Slightly Over", AND(F16&gt;=-5, F16&lt;=5), "Within Budget", F16&gt;5, "Under Budget")</f>
        <v>Under Budget</v>
      </c>
    </row>
    <row r="17" spans="1:7" ht="15" thickBot="1" x14ac:dyDescent="0.35">
      <c r="A17" s="2" t="s">
        <v>86</v>
      </c>
      <c r="B17" s="2" t="s">
        <v>88</v>
      </c>
      <c r="C17" s="10">
        <v>36279.35</v>
      </c>
      <c r="D17" s="10">
        <v>33736.322740000003</v>
      </c>
      <c r="E17" s="10">
        <v>-2543.0272559999999</v>
      </c>
      <c r="F17" s="10">
        <v>-7.01</v>
      </c>
      <c r="G17" t="str" cm="1">
        <f t="array" ref="G17">_xlfn.IFS(F17&lt;-10, "Significantly Over", AND(F17&gt;=-10, F17&lt;-5), "Slightly Over", AND(F17&gt;=-5, F17&lt;=5), "Within Budget", F17&gt;5, "Under Budget")</f>
        <v>Slightly Over</v>
      </c>
    </row>
    <row r="18" spans="1:7" ht="29.4" thickBot="1" x14ac:dyDescent="0.35">
      <c r="A18" s="2" t="s">
        <v>82</v>
      </c>
      <c r="B18" s="2" t="s">
        <v>89</v>
      </c>
      <c r="C18" s="10">
        <v>40282.370000000003</v>
      </c>
      <c r="D18" s="10">
        <v>40534.674099999997</v>
      </c>
      <c r="E18" s="10">
        <v>252.30410409999999</v>
      </c>
      <c r="F18" s="10">
        <v>0.63</v>
      </c>
      <c r="G18" t="str" cm="1">
        <f t="array" ref="G18">_xlfn.IFS(F18&lt;-10, "Significantly Over", AND(F18&gt;=-10, F18&lt;-5), "Slightly Over", AND(F18&gt;=-5, F18&lt;=5), "Within Budget", F18&gt;5, "Under Budget")</f>
        <v>Within Budget</v>
      </c>
    </row>
    <row r="19" spans="1:7" ht="29.4" thickBot="1" x14ac:dyDescent="0.35">
      <c r="A19" s="2" t="s">
        <v>79</v>
      </c>
      <c r="B19" s="2" t="s">
        <v>84</v>
      </c>
      <c r="C19" s="10">
        <v>48105.95</v>
      </c>
      <c r="D19" s="10">
        <v>46366.573490000002</v>
      </c>
      <c r="E19" s="10">
        <v>-1739.3765069999999</v>
      </c>
      <c r="F19" s="10">
        <v>-3.62</v>
      </c>
      <c r="G19" t="str" cm="1">
        <f t="array" ref="G19">_xlfn.IFS(F19&lt;-10, "Significantly Over", AND(F19&gt;=-10, F19&lt;-5), "Slightly Over", AND(F19&gt;=-5, F19&lt;=5), "Within Budget", F19&gt;5, "Under Budget")</f>
        <v>Within Budget</v>
      </c>
    </row>
    <row r="20" spans="1:7" ht="15" thickBot="1" x14ac:dyDescent="0.35">
      <c r="A20" s="2" t="s">
        <v>81</v>
      </c>
      <c r="B20" s="2" t="s">
        <v>83</v>
      </c>
      <c r="C20" s="10">
        <v>46312.75</v>
      </c>
      <c r="D20" s="10">
        <v>37695.405720000002</v>
      </c>
      <c r="E20" s="10">
        <v>-8617.3442759999998</v>
      </c>
      <c r="F20" s="10">
        <v>-18.61</v>
      </c>
      <c r="G20" t="str" cm="1">
        <f t="array" ref="G20">_xlfn.IFS(F20&lt;-10, "Significantly Over", AND(F20&gt;=-10, F20&lt;-5), "Slightly Over", AND(F20&gt;=-5, F20&lt;=5), "Within Budget", F20&gt;5, "Under Budget")</f>
        <v>Significantly Over</v>
      </c>
    </row>
    <row r="21" spans="1:7" ht="15" thickBot="1" x14ac:dyDescent="0.35">
      <c r="A21" s="2" t="s">
        <v>79</v>
      </c>
      <c r="B21" s="2" t="s">
        <v>83</v>
      </c>
      <c r="C21" s="10">
        <v>38971.410000000003</v>
      </c>
      <c r="D21" s="10">
        <v>37714.717779999999</v>
      </c>
      <c r="E21" s="10">
        <v>-1256.6922239999999</v>
      </c>
      <c r="F21" s="10">
        <v>-3.22</v>
      </c>
      <c r="G21" t="str" cm="1">
        <f t="array" ref="G21">_xlfn.IFS(F21&lt;-10, "Significantly Over", AND(F21&gt;=-10, F21&lt;-5), "Slightly Over", AND(F21&gt;=-5, F21&lt;=5), "Within Budget", F21&gt;5, "Under Budget")</f>
        <v>Within Budget</v>
      </c>
    </row>
    <row r="22" spans="1:7" ht="29.4" thickBot="1" x14ac:dyDescent="0.35">
      <c r="A22" s="2" t="s">
        <v>77</v>
      </c>
      <c r="B22" s="2" t="s">
        <v>87</v>
      </c>
      <c r="C22" s="10">
        <v>39966.47</v>
      </c>
      <c r="D22" s="10">
        <v>31914.33785</v>
      </c>
      <c r="E22" s="10">
        <v>-8052.132149</v>
      </c>
      <c r="F22" s="10">
        <v>-20.149999999999999</v>
      </c>
      <c r="G22" t="str" cm="1">
        <f t="array" ref="G22">_xlfn.IFS(F22&lt;-10, "Significantly Over", AND(F22&gt;=-10, F22&lt;-5), "Slightly Over", AND(F22&gt;=-5, F22&lt;=5), "Within Budget", F22&gt;5, "Under Budget")</f>
        <v>Significantly Over</v>
      </c>
    </row>
    <row r="23" spans="1:7" ht="15" thickBot="1" x14ac:dyDescent="0.35">
      <c r="A23" s="2" t="s">
        <v>86</v>
      </c>
      <c r="B23" s="2" t="s">
        <v>80</v>
      </c>
      <c r="C23" s="10">
        <v>15836.88</v>
      </c>
      <c r="D23" s="10">
        <v>13937.295980000001</v>
      </c>
      <c r="E23" s="10">
        <v>-1899.584018</v>
      </c>
      <c r="F23" s="10">
        <v>-11.99</v>
      </c>
      <c r="G23" t="str" cm="1">
        <f t="array" ref="G23">_xlfn.IFS(F23&lt;-10, "Significantly Over", AND(F23&gt;=-10, F23&lt;-5), "Slightly Over", AND(F23&gt;=-5, F23&lt;=5), "Within Budget", F23&gt;5, "Under Budget")</f>
        <v>Significantly Over</v>
      </c>
    </row>
    <row r="24" spans="1:7" ht="29.4" thickBot="1" x14ac:dyDescent="0.35">
      <c r="A24" s="2" t="s">
        <v>77</v>
      </c>
      <c r="B24" s="2" t="s">
        <v>84</v>
      </c>
      <c r="C24" s="10">
        <v>14111.7</v>
      </c>
      <c r="D24" s="10">
        <v>15970.067999999999</v>
      </c>
      <c r="E24" s="10">
        <v>1858.3679970000001</v>
      </c>
      <c r="F24" s="10">
        <v>13.17</v>
      </c>
      <c r="G24" t="str" cm="1">
        <f t="array" ref="G24">_xlfn.IFS(F24&lt;-10, "Significantly Over", AND(F24&gt;=-10, F24&lt;-5), "Slightly Over", AND(F24&gt;=-5, F24&lt;=5), "Within Budget", F24&gt;5, "Under Budget")</f>
        <v>Under Budget</v>
      </c>
    </row>
    <row r="25" spans="1:7" ht="15" thickBot="1" x14ac:dyDescent="0.35">
      <c r="A25" s="2" t="s">
        <v>79</v>
      </c>
      <c r="B25" s="2" t="s">
        <v>90</v>
      </c>
      <c r="C25" s="10">
        <v>32836.18</v>
      </c>
      <c r="D25" s="10">
        <v>34424.477989999999</v>
      </c>
      <c r="E25" s="10">
        <v>1588.2979869999999</v>
      </c>
      <c r="F25" s="10">
        <v>4.84</v>
      </c>
      <c r="G25" t="str" cm="1">
        <f t="array" ref="G25">_xlfn.IFS(F25&lt;-10, "Significantly Over", AND(F25&gt;=-10, F25&lt;-5), "Slightly Over", AND(F25&gt;=-5, F25&lt;=5), "Within Budget", F25&gt;5, "Under Budget")</f>
        <v>Within Budget</v>
      </c>
    </row>
    <row r="26" spans="1:7" ht="15" thickBot="1" x14ac:dyDescent="0.35">
      <c r="A26" s="2" t="s">
        <v>79</v>
      </c>
      <c r="B26" s="2" t="s">
        <v>80</v>
      </c>
      <c r="C26" s="10">
        <v>10734.71</v>
      </c>
      <c r="D26" s="10">
        <v>13987.13558</v>
      </c>
      <c r="E26" s="10">
        <v>3252.4255800000001</v>
      </c>
      <c r="F26" s="10">
        <v>30.3</v>
      </c>
      <c r="G26" t="str" cm="1">
        <f t="array" ref="G26">_xlfn.IFS(F26&lt;-10, "Significantly Over", AND(F26&gt;=-10, F26&lt;-5), "Slightly Over", AND(F26&gt;=-5, F26&lt;=5), "Within Budget", F26&gt;5, "Under Budget")</f>
        <v>Under Budget</v>
      </c>
    </row>
    <row r="27" spans="1:7" ht="29.4" thickBot="1" x14ac:dyDescent="0.35">
      <c r="A27" s="2" t="s">
        <v>82</v>
      </c>
      <c r="B27" s="2" t="s">
        <v>87</v>
      </c>
      <c r="C27" s="10">
        <v>29294.26</v>
      </c>
      <c r="D27" s="10">
        <v>21199.490160000001</v>
      </c>
      <c r="E27" s="10">
        <v>-8094.7698410000003</v>
      </c>
      <c r="F27" s="10">
        <v>-27.63</v>
      </c>
      <c r="G27" t="str" cm="1">
        <f t="array" ref="G27">_xlfn.IFS(F27&lt;-10, "Significantly Over", AND(F27&gt;=-10, F27&lt;-5), "Slightly Over", AND(F27&gt;=-5, F27&lt;=5), "Within Budget", F27&gt;5, "Under Budget")</f>
        <v>Significantly Over</v>
      </c>
    </row>
    <row r="28" spans="1:7" ht="15" thickBot="1" x14ac:dyDescent="0.35">
      <c r="A28" s="2" t="s">
        <v>81</v>
      </c>
      <c r="B28" s="2" t="s">
        <v>91</v>
      </c>
      <c r="C28" s="10">
        <v>18413.98</v>
      </c>
      <c r="D28" s="10">
        <v>21456.444909999998</v>
      </c>
      <c r="E28" s="10">
        <v>3042.464911</v>
      </c>
      <c r="F28" s="10">
        <v>16.52</v>
      </c>
      <c r="G28" t="str" cm="1">
        <f t="array" ref="G28">_xlfn.IFS(F28&lt;-10, "Significantly Over", AND(F28&gt;=-10, F28&lt;-5), "Slightly Over", AND(F28&gt;=-5, F28&lt;=5), "Within Budget", F28&gt;5, "Under Budget")</f>
        <v>Under Budget</v>
      </c>
    </row>
    <row r="29" spans="1:7" ht="29.4" thickBot="1" x14ac:dyDescent="0.35">
      <c r="A29" s="2" t="s">
        <v>81</v>
      </c>
      <c r="B29" s="2" t="s">
        <v>84</v>
      </c>
      <c r="C29" s="10">
        <v>23840.66</v>
      </c>
      <c r="D29" s="10">
        <v>20083.62113</v>
      </c>
      <c r="E29" s="10">
        <v>-3757.0388659999999</v>
      </c>
      <c r="F29" s="10">
        <v>-15.76</v>
      </c>
      <c r="G29" t="str" cm="1">
        <f t="array" ref="G29">_xlfn.IFS(F29&lt;-10, "Significantly Over", AND(F29&gt;=-10, F29&lt;-5), "Slightly Over", AND(F29&gt;=-5, F29&lt;=5), "Within Budget", F29&gt;5, "Under Budget")</f>
        <v>Significantly Over</v>
      </c>
    </row>
    <row r="30" spans="1:7" ht="15" thickBot="1" x14ac:dyDescent="0.35">
      <c r="A30" s="2" t="s">
        <v>77</v>
      </c>
      <c r="B30" s="2" t="s">
        <v>85</v>
      </c>
      <c r="C30" s="10">
        <v>41032.19</v>
      </c>
      <c r="D30" s="10">
        <v>39013.108919999999</v>
      </c>
      <c r="E30" s="10">
        <v>-2019.0810770000001</v>
      </c>
      <c r="F30" s="10">
        <v>-4.92</v>
      </c>
      <c r="G30" t="str" cm="1">
        <f t="array" ref="G30">_xlfn.IFS(F30&lt;-10, "Significantly Over", AND(F30&gt;=-10, F30&lt;-5), "Slightly Over", AND(F30&gt;=-5, F30&lt;=5), "Within Budget", F30&gt;5, "Under Budget")</f>
        <v>Within Budget</v>
      </c>
    </row>
    <row r="31" spans="1:7" ht="15" thickBot="1" x14ac:dyDescent="0.35">
      <c r="A31" s="2" t="s">
        <v>86</v>
      </c>
      <c r="B31" s="2" t="s">
        <v>78</v>
      </c>
      <c r="C31" s="10">
        <v>47649.5</v>
      </c>
      <c r="D31" s="10">
        <v>54809.225079999997</v>
      </c>
      <c r="E31" s="10">
        <v>7159.7250780000004</v>
      </c>
      <c r="F31" s="10">
        <v>15.03</v>
      </c>
      <c r="G31" t="str" cm="1">
        <f t="array" ref="G31">_xlfn.IFS(F31&lt;-10, "Significantly Over", AND(F31&gt;=-10, F31&lt;-5), "Slightly Over", AND(F31&gt;=-5, F31&lt;=5), "Within Budget", F31&gt;5, "Under Budget")</f>
        <v>Under Budget</v>
      </c>
    </row>
    <row r="32" spans="1:7" ht="15" thickBot="1" x14ac:dyDescent="0.35">
      <c r="A32" s="2" t="s">
        <v>81</v>
      </c>
      <c r="B32" s="2" t="s">
        <v>90</v>
      </c>
      <c r="C32" s="10">
        <v>12896.65</v>
      </c>
      <c r="D32" s="10">
        <v>3077.2580830000002</v>
      </c>
      <c r="E32" s="10">
        <v>-9819.3919170000008</v>
      </c>
      <c r="F32" s="10">
        <v>-76.14</v>
      </c>
      <c r="G32" t="str" cm="1">
        <f t="array" ref="G32">_xlfn.IFS(F32&lt;-10, "Significantly Over", AND(F32&gt;=-10, F32&lt;-5), "Slightly Over", AND(F32&gt;=-5, F32&lt;=5), "Within Budget", F32&gt;5, "Under Budget")</f>
        <v>Significantly Over</v>
      </c>
    </row>
    <row r="33" spans="1:7" ht="29.4" thickBot="1" x14ac:dyDescent="0.35">
      <c r="A33" s="2" t="s">
        <v>82</v>
      </c>
      <c r="B33" s="2" t="s">
        <v>84</v>
      </c>
      <c r="C33" s="10">
        <v>31369.69</v>
      </c>
      <c r="D33" s="10">
        <v>33137.942669999997</v>
      </c>
      <c r="E33" s="10">
        <v>1768.252667</v>
      </c>
      <c r="F33" s="10">
        <v>5.64</v>
      </c>
      <c r="G33" t="str" cm="1">
        <f t="array" ref="G33">_xlfn.IFS(F33&lt;-10, "Significantly Over", AND(F33&gt;=-10, F33&lt;-5), "Slightly Over", AND(F33&gt;=-5, F33&lt;=5), "Within Budget", F33&gt;5, "Under Budget")</f>
        <v>Under Budget</v>
      </c>
    </row>
    <row r="34" spans="1:7" ht="15" thickBot="1" x14ac:dyDescent="0.35">
      <c r="A34" s="2" t="s">
        <v>77</v>
      </c>
      <c r="B34" s="2" t="s">
        <v>88</v>
      </c>
      <c r="C34" s="10">
        <v>45301.34</v>
      </c>
      <c r="D34" s="10">
        <v>47275.619599999998</v>
      </c>
      <c r="E34" s="10">
        <v>1974.2796020000001</v>
      </c>
      <c r="F34" s="10">
        <v>4.3600000000000003</v>
      </c>
      <c r="G34" t="str" cm="1">
        <f t="array" ref="G34">_xlfn.IFS(F34&lt;-10, "Significantly Over", AND(F34&gt;=-10, F34&lt;-5), "Slightly Over", AND(F34&gt;=-5, F34&lt;=5), "Within Budget", F34&gt;5, "Under Budget")</f>
        <v>Within Budget</v>
      </c>
    </row>
    <row r="35" spans="1:7" ht="15" thickBot="1" x14ac:dyDescent="0.35">
      <c r="A35" s="2" t="s">
        <v>77</v>
      </c>
      <c r="B35" s="2" t="s">
        <v>91</v>
      </c>
      <c r="C35" s="10">
        <v>13300.34</v>
      </c>
      <c r="D35" s="10">
        <v>11233.535529999999</v>
      </c>
      <c r="E35" s="10">
        <v>-2066.8044730000001</v>
      </c>
      <c r="F35" s="10">
        <v>-15.54</v>
      </c>
      <c r="G35" t="str" cm="1">
        <f t="array" ref="G35">_xlfn.IFS(F35&lt;-10, "Significantly Over", AND(F35&gt;=-10, F35&lt;-5), "Slightly Over", AND(F35&gt;=-5, F35&lt;=5), "Within Budget", F35&gt;5, "Under Budget")</f>
        <v>Significantly Over</v>
      </c>
    </row>
    <row r="36" spans="1:7" ht="29.4" thickBot="1" x14ac:dyDescent="0.35">
      <c r="A36" s="2" t="s">
        <v>82</v>
      </c>
      <c r="B36" s="2" t="s">
        <v>88</v>
      </c>
      <c r="C36" s="10">
        <v>42980.56</v>
      </c>
      <c r="D36" s="10">
        <v>37721.117140000002</v>
      </c>
      <c r="E36" s="10">
        <v>-5259.4428580000003</v>
      </c>
      <c r="F36" s="10">
        <v>-12.24</v>
      </c>
      <c r="G36" t="str" cm="1">
        <f t="array" ref="G36">_xlfn.IFS(F36&lt;-10, "Significantly Over", AND(F36&gt;=-10, F36&lt;-5), "Slightly Over", AND(F36&gt;=-5, F36&lt;=5), "Within Budget", F36&gt;5, "Under Budget")</f>
        <v>Significantly Over</v>
      </c>
    </row>
    <row r="37" spans="1:7" ht="15" thickBot="1" x14ac:dyDescent="0.35">
      <c r="A37" s="2" t="s">
        <v>86</v>
      </c>
      <c r="B37" s="2" t="s">
        <v>83</v>
      </c>
      <c r="C37" s="10">
        <v>24312.05</v>
      </c>
      <c r="D37" s="10">
        <v>19005.530770000001</v>
      </c>
      <c r="E37" s="10">
        <v>-5306.5192349999998</v>
      </c>
      <c r="F37" s="10">
        <v>-21.83</v>
      </c>
      <c r="G37" t="str" cm="1">
        <f t="array" ref="G37">_xlfn.IFS(F37&lt;-10, "Significantly Over", AND(F37&gt;=-10, F37&lt;-5), "Slightly Over", AND(F37&gt;=-5, F37&lt;=5), "Within Budget", F37&gt;5, "Under Budget")</f>
        <v>Significantly Over</v>
      </c>
    </row>
    <row r="38" spans="1:7" ht="29.4" thickBot="1" x14ac:dyDescent="0.35">
      <c r="A38" s="2" t="s">
        <v>82</v>
      </c>
      <c r="B38" s="2" t="s">
        <v>83</v>
      </c>
      <c r="C38" s="10">
        <v>22883.79</v>
      </c>
      <c r="D38" s="10">
        <v>30557.983390000001</v>
      </c>
      <c r="E38" s="10">
        <v>7674.1933929999996</v>
      </c>
      <c r="F38" s="10">
        <v>33.54</v>
      </c>
      <c r="G38" t="str" cm="1">
        <f t="array" ref="G38">_xlfn.IFS(F38&lt;-10, "Significantly Over", AND(F38&gt;=-10, F38&lt;-5), "Slightly Over", AND(F38&gt;=-5, F38&lt;=5), "Within Budget", F38&gt;5, "Under Budget")</f>
        <v>Under Budget</v>
      </c>
    </row>
    <row r="39" spans="1:7" ht="15" thickBot="1" x14ac:dyDescent="0.35">
      <c r="A39" s="2" t="s">
        <v>86</v>
      </c>
      <c r="B39" s="2" t="s">
        <v>80</v>
      </c>
      <c r="C39" s="10">
        <v>49098.66</v>
      </c>
      <c r="D39" s="10">
        <v>47939.14748</v>
      </c>
      <c r="E39" s="10">
        <v>-1159.512524</v>
      </c>
      <c r="F39" s="10">
        <v>-2.36</v>
      </c>
      <c r="G39" t="str" cm="1">
        <f t="array" ref="G39">_xlfn.IFS(F39&lt;-10, "Significantly Over", AND(F39&gt;=-10, F39&lt;-5), "Slightly Over", AND(F39&gt;=-5, F39&lt;=5), "Within Budget", F39&gt;5, "Under Budget")</f>
        <v>Within Budget</v>
      </c>
    </row>
    <row r="40" spans="1:7" ht="29.4" thickBot="1" x14ac:dyDescent="0.35">
      <c r="A40" s="2" t="s">
        <v>82</v>
      </c>
      <c r="B40" s="2" t="s">
        <v>85</v>
      </c>
      <c r="C40" s="10">
        <v>18034.36</v>
      </c>
      <c r="D40" s="10">
        <v>14652.14726</v>
      </c>
      <c r="E40" s="10">
        <v>-3382.2127399999999</v>
      </c>
      <c r="F40" s="10">
        <v>-18.75</v>
      </c>
      <c r="G40" t="str" cm="1">
        <f t="array" ref="G40">_xlfn.IFS(F40&lt;-10, "Significantly Over", AND(F40&gt;=-10, F40&lt;-5), "Slightly Over", AND(F40&gt;=-5, F40&lt;=5), "Within Budget", F40&gt;5, "Under Budget")</f>
        <v>Significantly Over</v>
      </c>
    </row>
    <row r="41" spans="1:7" ht="29.4" thickBot="1" x14ac:dyDescent="0.35">
      <c r="A41" s="2" t="s">
        <v>82</v>
      </c>
      <c r="B41" s="2" t="s">
        <v>90</v>
      </c>
      <c r="C41" s="10">
        <v>37727.760000000002</v>
      </c>
      <c r="D41" s="10">
        <v>36703.311479999997</v>
      </c>
      <c r="E41" s="10">
        <v>-1024.448523</v>
      </c>
      <c r="F41" s="10">
        <v>-2.72</v>
      </c>
      <c r="G41" t="str" cm="1">
        <f t="array" ref="G41">_xlfn.IFS(F41&lt;-10, "Significantly Over", AND(F41&gt;=-10, F41&lt;-5), "Slightly Over", AND(F41&gt;=-5, F41&lt;=5), "Within Budget", F41&gt;5, "Under Budget")</f>
        <v>Within Budget</v>
      </c>
    </row>
    <row r="42" spans="1:7" ht="29.4" thickBot="1" x14ac:dyDescent="0.35">
      <c r="A42" s="2" t="s">
        <v>79</v>
      </c>
      <c r="B42" s="2" t="s">
        <v>92</v>
      </c>
      <c r="C42" s="10">
        <v>42857.63</v>
      </c>
      <c r="D42" s="10">
        <v>46245.438029999998</v>
      </c>
      <c r="E42" s="10">
        <v>3387.8080289999998</v>
      </c>
      <c r="F42" s="10">
        <v>7.9</v>
      </c>
      <c r="G42" t="str" cm="1">
        <f t="array" ref="G42">_xlfn.IFS(F42&lt;-10, "Significantly Over", AND(F42&gt;=-10, F42&lt;-5), "Slightly Over", AND(F42&gt;=-5, F42&lt;=5), "Within Budget", F42&gt;5, "Under Budget")</f>
        <v>Under Budget</v>
      </c>
    </row>
    <row r="43" spans="1:7" ht="15" thickBot="1" x14ac:dyDescent="0.35">
      <c r="A43" s="2" t="s">
        <v>77</v>
      </c>
      <c r="B43" s="2" t="s">
        <v>91</v>
      </c>
      <c r="C43" s="10">
        <v>11647.34</v>
      </c>
      <c r="D43" s="10">
        <v>4562.4713650000003</v>
      </c>
      <c r="E43" s="10">
        <v>-7084.8686349999998</v>
      </c>
      <c r="F43" s="10">
        <v>-60.83</v>
      </c>
      <c r="G43" t="str" cm="1">
        <f t="array" ref="G43">_xlfn.IFS(F43&lt;-10, "Significantly Over", AND(F43&gt;=-10, F43&lt;-5), "Slightly Over", AND(F43&gt;=-5, F43&lt;=5), "Within Budget", F43&gt;5, "Under Budget")</f>
        <v>Significantly Over</v>
      </c>
    </row>
    <row r="44" spans="1:7" ht="29.4" thickBot="1" x14ac:dyDescent="0.35">
      <c r="A44" s="2" t="s">
        <v>82</v>
      </c>
      <c r="B44" s="2" t="s">
        <v>91</v>
      </c>
      <c r="C44" s="10">
        <v>36815.42</v>
      </c>
      <c r="D44" s="10">
        <v>35804.096700000002</v>
      </c>
      <c r="E44" s="10">
        <v>-1011.323296</v>
      </c>
      <c r="F44" s="10">
        <v>-2.75</v>
      </c>
      <c r="G44" t="str" cm="1">
        <f t="array" ref="G44">_xlfn.IFS(F44&lt;-10, "Significantly Over", AND(F44&gt;=-10, F44&lt;-5), "Slightly Over", AND(F44&gt;=-5, F44&lt;=5), "Within Budget", F44&gt;5, "Under Budget")</f>
        <v>Within Budget</v>
      </c>
    </row>
    <row r="45" spans="1:7" ht="29.4" thickBot="1" x14ac:dyDescent="0.35">
      <c r="A45" s="2" t="s">
        <v>82</v>
      </c>
      <c r="B45" s="2" t="s">
        <v>84</v>
      </c>
      <c r="C45" s="10">
        <v>48062</v>
      </c>
      <c r="D45" s="10">
        <v>49819.687420000002</v>
      </c>
      <c r="E45" s="10">
        <v>1757.687422</v>
      </c>
      <c r="F45" s="10">
        <v>3.66</v>
      </c>
      <c r="G45" t="str" cm="1">
        <f t="array" ref="G45">_xlfn.IFS(F45&lt;-10, "Significantly Over", AND(F45&gt;=-10, F45&lt;-5), "Slightly Over", AND(F45&gt;=-5, F45&lt;=5), "Within Budget", F45&gt;5, "Under Budget")</f>
        <v>Within Budget</v>
      </c>
    </row>
    <row r="46" spans="1:7" ht="15" thickBot="1" x14ac:dyDescent="0.35">
      <c r="A46" s="2" t="s">
        <v>81</v>
      </c>
      <c r="B46" s="2" t="s">
        <v>80</v>
      </c>
      <c r="C46" s="10">
        <v>14968.8</v>
      </c>
      <c r="D46" s="10">
        <v>23940.467100000002</v>
      </c>
      <c r="E46" s="10">
        <v>8971.6670969999996</v>
      </c>
      <c r="F46" s="10">
        <v>59.94</v>
      </c>
      <c r="G46" t="str" cm="1">
        <f t="array" ref="G46">_xlfn.IFS(F46&lt;-10, "Significantly Over", AND(F46&gt;=-10, F46&lt;-5), "Slightly Over", AND(F46&gt;=-5, F46&lt;=5), "Within Budget", F46&gt;5, "Under Budget")</f>
        <v>Under Budget</v>
      </c>
    </row>
    <row r="47" spans="1:7" ht="15" thickBot="1" x14ac:dyDescent="0.35">
      <c r="A47" s="2" t="s">
        <v>77</v>
      </c>
      <c r="B47" s="2" t="s">
        <v>83</v>
      </c>
      <c r="C47" s="10">
        <v>45848.85</v>
      </c>
      <c r="D47" s="10">
        <v>40899.405639999997</v>
      </c>
      <c r="E47" s="10">
        <v>-4949.4443579999997</v>
      </c>
      <c r="F47" s="10">
        <v>-10.8</v>
      </c>
      <c r="G47" t="str" cm="1">
        <f t="array" ref="G47">_xlfn.IFS(F47&lt;-10, "Significantly Over", AND(F47&gt;=-10, F47&lt;-5), "Slightly Over", AND(F47&gt;=-5, F47&lt;=5), "Within Budget", F47&gt;5, "Under Budget")</f>
        <v>Significantly Over</v>
      </c>
    </row>
    <row r="48" spans="1:7" ht="15" thickBot="1" x14ac:dyDescent="0.35">
      <c r="A48" s="2" t="s">
        <v>81</v>
      </c>
      <c r="B48" s="2" t="s">
        <v>80</v>
      </c>
      <c r="C48" s="10">
        <v>33791.07</v>
      </c>
      <c r="D48" s="10">
        <v>30976.08496</v>
      </c>
      <c r="E48" s="10">
        <v>-2814.9850419999998</v>
      </c>
      <c r="F48" s="10">
        <v>-8.33</v>
      </c>
      <c r="G48" t="str" cm="1">
        <f t="array" ref="G48">_xlfn.IFS(F48&lt;-10, "Significantly Over", AND(F48&gt;=-10, F48&lt;-5), "Slightly Over", AND(F48&gt;=-5, F48&lt;=5), "Within Budget", F48&gt;5, "Under Budget")</f>
        <v>Slightly Over</v>
      </c>
    </row>
    <row r="49" spans="1:7" ht="15" thickBot="1" x14ac:dyDescent="0.35">
      <c r="A49" s="2" t="s">
        <v>77</v>
      </c>
      <c r="B49" s="2" t="s">
        <v>78</v>
      </c>
      <c r="C49" s="10">
        <v>34664.18</v>
      </c>
      <c r="D49" s="10">
        <v>32251.3518</v>
      </c>
      <c r="E49" s="10">
        <v>-2412.8282020000001</v>
      </c>
      <c r="F49" s="10">
        <v>-6.96</v>
      </c>
      <c r="G49" t="str" cm="1">
        <f t="array" ref="G49">_xlfn.IFS(F49&lt;-10, "Significantly Over", AND(F49&gt;=-10, F49&lt;-5), "Slightly Over", AND(F49&gt;=-5, F49&lt;=5), "Within Budget", F49&gt;5, "Under Budget")</f>
        <v>Slightly Over</v>
      </c>
    </row>
    <row r="50" spans="1:7" ht="29.4" thickBot="1" x14ac:dyDescent="0.35">
      <c r="A50" s="2" t="s">
        <v>81</v>
      </c>
      <c r="B50" s="2" t="s">
        <v>84</v>
      </c>
      <c r="C50" s="10">
        <v>34517.769999999997</v>
      </c>
      <c r="D50" s="10">
        <v>36628.533150000003</v>
      </c>
      <c r="E50" s="10">
        <v>2110.7631529999999</v>
      </c>
      <c r="F50" s="10">
        <v>6.12</v>
      </c>
      <c r="G50" t="str" cm="1">
        <f t="array" ref="G50">_xlfn.IFS(F50&lt;-10, "Significantly Over", AND(F50&gt;=-10, F50&lt;-5), "Slightly Over", AND(F50&gt;=-5, F50&lt;=5), "Within Budget", F50&gt;5, "Under Budget")</f>
        <v>Under Budget</v>
      </c>
    </row>
    <row r="51" spans="1:7" ht="29.4" thickBot="1" x14ac:dyDescent="0.35">
      <c r="A51" s="2" t="s">
        <v>82</v>
      </c>
      <c r="B51" s="2" t="s">
        <v>84</v>
      </c>
      <c r="C51" s="10">
        <v>21953.439999999999</v>
      </c>
      <c r="D51" s="10">
        <v>19088.08106</v>
      </c>
      <c r="E51" s="10">
        <v>-2865.3589390000002</v>
      </c>
      <c r="F51" s="10">
        <v>-13.05</v>
      </c>
      <c r="G51" t="str" cm="1">
        <f t="array" ref="G51">_xlfn.IFS(F51&lt;-10, "Significantly Over", AND(F51&gt;=-10, F51&lt;-5), "Slightly Over", AND(F51&gt;=-5, F51&lt;=5), "Within Budget", F51&gt;5, "Under Budget")</f>
        <v>Significantly Over</v>
      </c>
    </row>
    <row r="52" spans="1:7" ht="29.4" thickBot="1" x14ac:dyDescent="0.35">
      <c r="A52" s="2" t="s">
        <v>82</v>
      </c>
      <c r="B52" s="2" t="s">
        <v>90</v>
      </c>
      <c r="C52" s="10">
        <v>47408.07</v>
      </c>
      <c r="D52" s="10">
        <v>48078.308510000003</v>
      </c>
      <c r="E52" s="10">
        <v>670.23850600000003</v>
      </c>
      <c r="F52" s="10">
        <v>1.41</v>
      </c>
      <c r="G52" t="str" cm="1">
        <f t="array" ref="G52">_xlfn.IFS(F52&lt;-10, "Significantly Over", AND(F52&gt;=-10, F52&lt;-5), "Slightly Over", AND(F52&gt;=-5, F52&lt;=5), "Within Budget", F52&gt;5, "Under Budget")</f>
        <v>Within Budget</v>
      </c>
    </row>
    <row r="53" spans="1:7" ht="15" thickBot="1" x14ac:dyDescent="0.35">
      <c r="A53" s="2" t="s">
        <v>79</v>
      </c>
      <c r="B53" s="2" t="s">
        <v>85</v>
      </c>
      <c r="C53" s="10">
        <v>47894.02</v>
      </c>
      <c r="D53" s="10">
        <v>53529.8266</v>
      </c>
      <c r="E53" s="10">
        <v>5635.8065969999998</v>
      </c>
      <c r="F53" s="10">
        <v>11.77</v>
      </c>
      <c r="G53" t="str" cm="1">
        <f t="array" ref="G53">_xlfn.IFS(F53&lt;-10, "Significantly Over", AND(F53&gt;=-10, F53&lt;-5), "Slightly Over", AND(F53&gt;=-5, F53&lt;=5), "Within Budget", F53&gt;5, "Under Budget")</f>
        <v>Under Budget</v>
      </c>
    </row>
    <row r="54" spans="1:7" ht="29.4" thickBot="1" x14ac:dyDescent="0.35">
      <c r="A54" s="2" t="s">
        <v>81</v>
      </c>
      <c r="B54" s="2" t="s">
        <v>87</v>
      </c>
      <c r="C54" s="10">
        <v>35012.19</v>
      </c>
      <c r="D54" s="10">
        <v>39119.901879999998</v>
      </c>
      <c r="E54" s="10">
        <v>4107.7118819999996</v>
      </c>
      <c r="F54" s="10">
        <v>11.73</v>
      </c>
      <c r="G54" t="str" cm="1">
        <f t="array" ref="G54">_xlfn.IFS(F54&lt;-10, "Significantly Over", AND(F54&gt;=-10, F54&lt;-5), "Slightly Over", AND(F54&gt;=-5, F54&lt;=5), "Within Budget", F54&gt;5, "Under Budget")</f>
        <v>Under Budget</v>
      </c>
    </row>
    <row r="55" spans="1:7" ht="15" thickBot="1" x14ac:dyDescent="0.35">
      <c r="A55" s="2" t="s">
        <v>86</v>
      </c>
      <c r="B55" s="2" t="s">
        <v>89</v>
      </c>
      <c r="C55" s="10">
        <v>41336.910000000003</v>
      </c>
      <c r="D55" s="10">
        <v>40264.282930000001</v>
      </c>
      <c r="E55" s="10">
        <v>-1072.62707</v>
      </c>
      <c r="F55" s="10">
        <v>-2.59</v>
      </c>
      <c r="G55" t="str" cm="1">
        <f t="array" ref="G55">_xlfn.IFS(F55&lt;-10, "Significantly Over", AND(F55&gt;=-10, F55&lt;-5), "Slightly Over", AND(F55&gt;=-5, F55&lt;=5), "Within Budget", F55&gt;5, "Under Budget")</f>
        <v>Within Budget</v>
      </c>
    </row>
    <row r="56" spans="1:7" ht="29.4" thickBot="1" x14ac:dyDescent="0.35">
      <c r="A56" s="2" t="s">
        <v>79</v>
      </c>
      <c r="B56" s="2" t="s">
        <v>87</v>
      </c>
      <c r="C56" s="10">
        <v>34490.32</v>
      </c>
      <c r="D56" s="10">
        <v>41774.643550000001</v>
      </c>
      <c r="E56" s="10">
        <v>7284.3235530000002</v>
      </c>
      <c r="F56" s="10">
        <v>21.12</v>
      </c>
      <c r="G56" t="str" cm="1">
        <f t="array" ref="G56">_xlfn.IFS(F56&lt;-10, "Significantly Over", AND(F56&gt;=-10, F56&lt;-5), "Slightly Over", AND(F56&gt;=-5, F56&lt;=5), "Within Budget", F56&gt;5, "Under Budget")</f>
        <v>Under Budget</v>
      </c>
    </row>
    <row r="57" spans="1:7" ht="15" thickBot="1" x14ac:dyDescent="0.35">
      <c r="A57" s="2" t="s">
        <v>81</v>
      </c>
      <c r="B57" s="2" t="s">
        <v>93</v>
      </c>
      <c r="C57" s="10">
        <v>29375.94</v>
      </c>
      <c r="D57" s="10">
        <v>30538.744989999999</v>
      </c>
      <c r="E57" s="10">
        <v>1162.8049920000001</v>
      </c>
      <c r="F57" s="10">
        <v>3.96</v>
      </c>
      <c r="G57" t="str" cm="1">
        <f t="array" ref="G57">_xlfn.IFS(F57&lt;-10, "Significantly Over", AND(F57&gt;=-10, F57&lt;-5), "Slightly Over", AND(F57&gt;=-5, F57&lt;=5), "Within Budget", F57&gt;5, "Under Budget")</f>
        <v>Within Budget</v>
      </c>
    </row>
    <row r="58" spans="1:7" ht="15" thickBot="1" x14ac:dyDescent="0.35">
      <c r="A58" s="2" t="s">
        <v>81</v>
      </c>
      <c r="B58" s="2" t="s">
        <v>93</v>
      </c>
      <c r="C58" s="10">
        <v>36432.800000000003</v>
      </c>
      <c r="D58" s="10">
        <v>37230.916790000003</v>
      </c>
      <c r="E58" s="10">
        <v>798.11679000000004</v>
      </c>
      <c r="F58" s="10">
        <v>2.19</v>
      </c>
      <c r="G58" t="str" cm="1">
        <f t="array" ref="G58">_xlfn.IFS(F58&lt;-10, "Significantly Over", AND(F58&gt;=-10, F58&lt;-5), "Slightly Over", AND(F58&gt;=-5, F58&lt;=5), "Within Budget", F58&gt;5, "Under Budget")</f>
        <v>Within Budget</v>
      </c>
    </row>
    <row r="59" spans="1:7" ht="29.4" thickBot="1" x14ac:dyDescent="0.35">
      <c r="A59" s="2" t="s">
        <v>79</v>
      </c>
      <c r="B59" s="2" t="s">
        <v>84</v>
      </c>
      <c r="C59" s="10">
        <v>32120.06</v>
      </c>
      <c r="D59" s="10">
        <v>22803.815320000002</v>
      </c>
      <c r="E59" s="10">
        <v>-9316.2446810000001</v>
      </c>
      <c r="F59" s="10">
        <v>-29</v>
      </c>
      <c r="G59" t="str" cm="1">
        <f t="array" ref="G59">_xlfn.IFS(F59&lt;-10, "Significantly Over", AND(F59&gt;=-10, F59&lt;-5), "Slightly Over", AND(F59&gt;=-5, F59&lt;=5), "Within Budget", F59&gt;5, "Under Budget")</f>
        <v>Significantly Over</v>
      </c>
    </row>
    <row r="60" spans="1:7" ht="29.4" thickBot="1" x14ac:dyDescent="0.35">
      <c r="A60" s="2" t="s">
        <v>82</v>
      </c>
      <c r="B60" s="2" t="s">
        <v>80</v>
      </c>
      <c r="C60" s="10">
        <v>33899.03</v>
      </c>
      <c r="D60" s="10">
        <v>43632.889609999998</v>
      </c>
      <c r="E60" s="10">
        <v>9733.8596070000003</v>
      </c>
      <c r="F60" s="10">
        <v>28.71</v>
      </c>
      <c r="G60" t="str" cm="1">
        <f t="array" ref="G60">_xlfn.IFS(F60&lt;-10, "Significantly Over", AND(F60&gt;=-10, F60&lt;-5), "Slightly Over", AND(F60&gt;=-5, F60&lt;=5), "Within Budget", F60&gt;5, "Under Budget")</f>
        <v>Under Budget</v>
      </c>
    </row>
    <row r="61" spans="1:7" ht="15" thickBot="1" x14ac:dyDescent="0.35">
      <c r="A61" s="2" t="s">
        <v>81</v>
      </c>
      <c r="B61" s="2" t="s">
        <v>78</v>
      </c>
      <c r="C61" s="10">
        <v>41353.300000000003</v>
      </c>
      <c r="D61" s="10">
        <v>33812.71617</v>
      </c>
      <c r="E61" s="10">
        <v>-7540.5838290000002</v>
      </c>
      <c r="F61" s="10">
        <v>-18.23</v>
      </c>
      <c r="G61" t="str" cm="1">
        <f t="array" ref="G61">_xlfn.IFS(F61&lt;-10, "Significantly Over", AND(F61&gt;=-10, F61&lt;-5), "Slightly Over", AND(F61&gt;=-5, F61&lt;=5), "Within Budget", F61&gt;5, "Under Budget")</f>
        <v>Significantly Over</v>
      </c>
    </row>
    <row r="62" spans="1:7" ht="29.4" thickBot="1" x14ac:dyDescent="0.35">
      <c r="A62" s="2" t="s">
        <v>82</v>
      </c>
      <c r="B62" s="2" t="s">
        <v>90</v>
      </c>
      <c r="C62" s="10">
        <v>29236.15</v>
      </c>
      <c r="D62" s="10">
        <v>23858.768250000001</v>
      </c>
      <c r="E62" s="10">
        <v>-5377.3817509999999</v>
      </c>
      <c r="F62" s="10">
        <v>-18.39</v>
      </c>
      <c r="G62" t="str" cm="1">
        <f t="array" ref="G62">_xlfn.IFS(F62&lt;-10, "Significantly Over", AND(F62&gt;=-10, F62&lt;-5), "Slightly Over", AND(F62&gt;=-5, F62&lt;=5), "Within Budget", F62&gt;5, "Under Budget")</f>
        <v>Significantly Over</v>
      </c>
    </row>
    <row r="63" spans="1:7" ht="29.4" thickBot="1" x14ac:dyDescent="0.35">
      <c r="A63" s="2" t="s">
        <v>79</v>
      </c>
      <c r="B63" s="2" t="s">
        <v>92</v>
      </c>
      <c r="C63" s="10">
        <v>11630.16</v>
      </c>
      <c r="D63" s="10">
        <v>2664.0967449999998</v>
      </c>
      <c r="E63" s="10">
        <v>-8966.0632549999991</v>
      </c>
      <c r="F63" s="10">
        <v>-77.09</v>
      </c>
      <c r="G63" t="str" cm="1">
        <f t="array" ref="G63">_xlfn.IFS(F63&lt;-10, "Significantly Over", AND(F63&gt;=-10, F63&lt;-5), "Slightly Over", AND(F63&gt;=-5, F63&lt;=5), "Within Budget", F63&gt;5, "Under Budget")</f>
        <v>Significantly Over</v>
      </c>
    </row>
    <row r="64" spans="1:7" ht="29.4" thickBot="1" x14ac:dyDescent="0.35">
      <c r="A64" s="2" t="s">
        <v>82</v>
      </c>
      <c r="B64" s="2" t="s">
        <v>93</v>
      </c>
      <c r="C64" s="10">
        <v>16559.98</v>
      </c>
      <c r="D64" s="10">
        <v>19360.039339999999</v>
      </c>
      <c r="E64" s="10">
        <v>2800.0593370000001</v>
      </c>
      <c r="F64" s="10">
        <v>16.91</v>
      </c>
      <c r="G64" t="str" cm="1">
        <f t="array" ref="G64">_xlfn.IFS(F64&lt;-10, "Significantly Over", AND(F64&gt;=-10, F64&lt;-5), "Slightly Over", AND(F64&gt;=-5, F64&lt;=5), "Within Budget", F64&gt;5, "Under Budget")</f>
        <v>Under Budget</v>
      </c>
    </row>
    <row r="65" spans="1:7" ht="15" thickBot="1" x14ac:dyDescent="0.35">
      <c r="A65" s="2" t="s">
        <v>77</v>
      </c>
      <c r="B65" s="2" t="s">
        <v>90</v>
      </c>
      <c r="C65" s="10">
        <v>27544.29</v>
      </c>
      <c r="D65" s="10">
        <v>22038.313539999999</v>
      </c>
      <c r="E65" s="10">
        <v>-5505.9764610000002</v>
      </c>
      <c r="F65" s="10">
        <v>-19.989999999999998</v>
      </c>
      <c r="G65" t="str" cm="1">
        <f t="array" ref="G65">_xlfn.IFS(F65&lt;-10, "Significantly Over", AND(F65&gt;=-10, F65&lt;-5), "Slightly Over", AND(F65&gt;=-5, F65&lt;=5), "Within Budget", F65&gt;5, "Under Budget")</f>
        <v>Significantly Over</v>
      </c>
    </row>
    <row r="66" spans="1:7" ht="29.4" thickBot="1" x14ac:dyDescent="0.35">
      <c r="A66" s="2" t="s">
        <v>86</v>
      </c>
      <c r="B66" s="2" t="s">
        <v>84</v>
      </c>
      <c r="C66" s="10">
        <v>38993.06</v>
      </c>
      <c r="D66" s="10">
        <v>32593.268749999999</v>
      </c>
      <c r="E66" s="10">
        <v>-6399.7912509999996</v>
      </c>
      <c r="F66" s="10">
        <v>-16.41</v>
      </c>
      <c r="G66" t="str" cm="1">
        <f t="array" ref="G66">_xlfn.IFS(F66&lt;-10, "Significantly Over", AND(F66&gt;=-10, F66&lt;-5), "Slightly Over", AND(F66&gt;=-5, F66&lt;=5), "Within Budget", F66&gt;5, "Under Budget")</f>
        <v>Significantly Over</v>
      </c>
    </row>
    <row r="67" spans="1:7" ht="15" thickBot="1" x14ac:dyDescent="0.35">
      <c r="A67" s="2" t="s">
        <v>81</v>
      </c>
      <c r="B67" s="2" t="s">
        <v>85</v>
      </c>
      <c r="C67" s="10">
        <v>33731.15</v>
      </c>
      <c r="D67" s="10">
        <v>25502.26168</v>
      </c>
      <c r="E67" s="10">
        <v>-8228.8883160000005</v>
      </c>
      <c r="F67" s="10">
        <v>-24.4</v>
      </c>
      <c r="G67" t="str" cm="1">
        <f t="array" ref="G67">_xlfn.IFS(F67&lt;-10, "Significantly Over", AND(F67&gt;=-10, F67&lt;-5), "Slightly Over", AND(F67&gt;=-5, F67&lt;=5), "Within Budget", F67&gt;5, "Under Budget")</f>
        <v>Significantly Over</v>
      </c>
    </row>
    <row r="68" spans="1:7" ht="15" thickBot="1" x14ac:dyDescent="0.35">
      <c r="A68" s="2" t="s">
        <v>86</v>
      </c>
      <c r="B68" s="2" t="s">
        <v>88</v>
      </c>
      <c r="C68" s="10">
        <v>36011.769999999997</v>
      </c>
      <c r="D68" s="10">
        <v>28077.949140000001</v>
      </c>
      <c r="E68" s="10">
        <v>-7933.820858</v>
      </c>
      <c r="F68" s="10">
        <v>-22.03</v>
      </c>
      <c r="G68" t="str" cm="1">
        <f t="array" ref="G68">_xlfn.IFS(F68&lt;-10, "Significantly Over", AND(F68&gt;=-10, F68&lt;-5), "Slightly Over", AND(F68&gt;=-5, F68&lt;=5), "Within Budget", F68&gt;5, "Under Budget")</f>
        <v>Significantly Over</v>
      </c>
    </row>
    <row r="69" spans="1:7" ht="29.4" thickBot="1" x14ac:dyDescent="0.35">
      <c r="A69" s="2" t="s">
        <v>82</v>
      </c>
      <c r="B69" s="2" t="s">
        <v>87</v>
      </c>
      <c r="C69" s="10">
        <v>29171.16</v>
      </c>
      <c r="D69" s="10">
        <v>30864.57401</v>
      </c>
      <c r="E69" s="10">
        <v>1693.4140090000001</v>
      </c>
      <c r="F69" s="10">
        <v>5.81</v>
      </c>
      <c r="G69" t="str" cm="1">
        <f t="array" ref="G69">_xlfn.IFS(F69&lt;-10, "Significantly Over", AND(F69&gt;=-10, F69&lt;-5), "Slightly Over", AND(F69&gt;=-5, F69&lt;=5), "Within Budget", F69&gt;5, "Under Budget")</f>
        <v>Under Budget</v>
      </c>
    </row>
    <row r="70" spans="1:7" ht="15" thickBot="1" x14ac:dyDescent="0.35">
      <c r="A70" s="2" t="s">
        <v>81</v>
      </c>
      <c r="B70" s="2" t="s">
        <v>78</v>
      </c>
      <c r="C70" s="10">
        <v>34629.68</v>
      </c>
      <c r="D70" s="10">
        <v>38393.837319999999</v>
      </c>
      <c r="E70" s="10">
        <v>3764.1573170000001</v>
      </c>
      <c r="F70" s="10">
        <v>10.87</v>
      </c>
      <c r="G70" t="str" cm="1">
        <f t="array" ref="G70">_xlfn.IFS(F70&lt;-10, "Significantly Over", AND(F70&gt;=-10, F70&lt;-5), "Slightly Over", AND(F70&gt;=-5, F70&lt;=5), "Within Budget", F70&gt;5, "Under Budget")</f>
        <v>Under Budget</v>
      </c>
    </row>
    <row r="71" spans="1:7" ht="29.4" thickBot="1" x14ac:dyDescent="0.35">
      <c r="A71" s="2" t="s">
        <v>82</v>
      </c>
      <c r="B71" s="2" t="s">
        <v>83</v>
      </c>
      <c r="C71" s="10">
        <v>23160.7</v>
      </c>
      <c r="D71" s="10">
        <v>21108.279770000001</v>
      </c>
      <c r="E71" s="10">
        <v>-2052.4202310000001</v>
      </c>
      <c r="F71" s="10">
        <v>-8.86</v>
      </c>
      <c r="G71" t="str" cm="1">
        <f t="array" ref="G71">_xlfn.IFS(F71&lt;-10, "Significantly Over", AND(F71&gt;=-10, F71&lt;-5), "Slightly Over", AND(F71&gt;=-5, F71&lt;=5), "Within Budget", F71&gt;5, "Under Budget")</f>
        <v>Slightly Over</v>
      </c>
    </row>
    <row r="72" spans="1:7" ht="15" thickBot="1" x14ac:dyDescent="0.35">
      <c r="A72" s="2" t="s">
        <v>77</v>
      </c>
      <c r="B72" s="2" t="s">
        <v>90</v>
      </c>
      <c r="C72" s="10">
        <v>28807.3</v>
      </c>
      <c r="D72" s="10">
        <v>28405.24163</v>
      </c>
      <c r="E72" s="10">
        <v>-402.05836820000002</v>
      </c>
      <c r="F72" s="10">
        <v>-1.4</v>
      </c>
      <c r="G72" t="str" cm="1">
        <f t="array" ref="G72">_xlfn.IFS(F72&lt;-10, "Significantly Over", AND(F72&gt;=-10, F72&lt;-5), "Slightly Over", AND(F72&gt;=-5, F72&lt;=5), "Within Budget", F72&gt;5, "Under Budget")</f>
        <v>Within Budget</v>
      </c>
    </row>
    <row r="73" spans="1:7" ht="15" thickBot="1" x14ac:dyDescent="0.35">
      <c r="A73" s="2" t="s">
        <v>79</v>
      </c>
      <c r="B73" s="2" t="s">
        <v>85</v>
      </c>
      <c r="C73" s="10">
        <v>39771.160000000003</v>
      </c>
      <c r="D73" s="10">
        <v>43490.514719999999</v>
      </c>
      <c r="E73" s="10">
        <v>3719.3547199999998</v>
      </c>
      <c r="F73" s="10">
        <v>9.35</v>
      </c>
      <c r="G73" t="str" cm="1">
        <f t="array" ref="G73">_xlfn.IFS(F73&lt;-10, "Significantly Over", AND(F73&gt;=-10, F73&lt;-5), "Slightly Over", AND(F73&gt;=-5, F73&lt;=5), "Within Budget", F73&gt;5, "Under Budget")</f>
        <v>Under Budget</v>
      </c>
    </row>
    <row r="74" spans="1:7" ht="29.4" thickBot="1" x14ac:dyDescent="0.35">
      <c r="A74" s="2" t="s">
        <v>81</v>
      </c>
      <c r="B74" s="2" t="s">
        <v>92</v>
      </c>
      <c r="C74" s="10">
        <v>44873.31</v>
      </c>
      <c r="D74" s="10">
        <v>35220.9058</v>
      </c>
      <c r="E74" s="10">
        <v>-9652.4041959999995</v>
      </c>
      <c r="F74" s="10">
        <v>-21.51</v>
      </c>
      <c r="G74" t="str" cm="1">
        <f t="array" ref="G74">_xlfn.IFS(F74&lt;-10, "Significantly Over", AND(F74&gt;=-10, F74&lt;-5), "Slightly Over", AND(F74&gt;=-5, F74&lt;=5), "Within Budget", F74&gt;5, "Under Budget")</f>
        <v>Significantly Over</v>
      </c>
    </row>
    <row r="75" spans="1:7" ht="15" thickBot="1" x14ac:dyDescent="0.35">
      <c r="A75" s="2" t="s">
        <v>77</v>
      </c>
      <c r="B75" s="2" t="s">
        <v>89</v>
      </c>
      <c r="C75" s="10">
        <v>27346.21</v>
      </c>
      <c r="D75" s="10">
        <v>23808.82314</v>
      </c>
      <c r="E75" s="10">
        <v>-3537.3868590000002</v>
      </c>
      <c r="F75" s="10">
        <v>-12.94</v>
      </c>
      <c r="G75" t="str" cm="1">
        <f t="array" ref="G75">_xlfn.IFS(F75&lt;-10, "Significantly Over", AND(F75&gt;=-10, F75&lt;-5), "Slightly Over", AND(F75&gt;=-5, F75&lt;=5), "Within Budget", F75&gt;5, "Under Budget")</f>
        <v>Significantly Over</v>
      </c>
    </row>
    <row r="76" spans="1:7" ht="29.4" thickBot="1" x14ac:dyDescent="0.35">
      <c r="A76" s="2" t="s">
        <v>77</v>
      </c>
      <c r="B76" s="2" t="s">
        <v>87</v>
      </c>
      <c r="C76" s="10">
        <v>11746.47</v>
      </c>
      <c r="D76" s="10">
        <v>21208.42496</v>
      </c>
      <c r="E76" s="10">
        <v>9461.9549609999995</v>
      </c>
      <c r="F76" s="10">
        <v>80.55</v>
      </c>
      <c r="G76" t="str" cm="1">
        <f t="array" ref="G76">_xlfn.IFS(F76&lt;-10, "Significantly Over", AND(F76&gt;=-10, F76&lt;-5), "Slightly Over", AND(F76&gt;=-5, F76&lt;=5), "Within Budget", F76&gt;5, "Under Budget")</f>
        <v>Under Budget</v>
      </c>
    </row>
    <row r="77" spans="1:7" ht="15" thickBot="1" x14ac:dyDescent="0.35">
      <c r="A77" s="2" t="s">
        <v>81</v>
      </c>
      <c r="B77" s="2" t="s">
        <v>83</v>
      </c>
      <c r="C77" s="10">
        <v>16466.900000000001</v>
      </c>
      <c r="D77" s="10">
        <v>18069.14459</v>
      </c>
      <c r="E77" s="10">
        <v>1602.244594</v>
      </c>
      <c r="F77" s="10">
        <v>9.73</v>
      </c>
      <c r="G77" t="str" cm="1">
        <f t="array" ref="G77">_xlfn.IFS(F77&lt;-10, "Significantly Over", AND(F77&gt;=-10, F77&lt;-5), "Slightly Over", AND(F77&gt;=-5, F77&lt;=5), "Within Budget", F77&gt;5, "Under Budget")</f>
        <v>Under Budget</v>
      </c>
    </row>
    <row r="78" spans="1:7" ht="29.4" thickBot="1" x14ac:dyDescent="0.35">
      <c r="A78" s="2" t="s">
        <v>82</v>
      </c>
      <c r="B78" s="2" t="s">
        <v>87</v>
      </c>
      <c r="C78" s="10">
        <v>10834.45</v>
      </c>
      <c r="D78" s="10">
        <v>5918.9415980000003</v>
      </c>
      <c r="E78" s="10">
        <v>-4915.5084020000004</v>
      </c>
      <c r="F78" s="10">
        <v>-45.37</v>
      </c>
      <c r="G78" t="str" cm="1">
        <f t="array" ref="G78">_xlfn.IFS(F78&lt;-10, "Significantly Over", AND(F78&gt;=-10, F78&lt;-5), "Slightly Over", AND(F78&gt;=-5, F78&lt;=5), "Within Budget", F78&gt;5, "Under Budget")</f>
        <v>Significantly Over</v>
      </c>
    </row>
    <row r="79" spans="1:7" ht="29.4" thickBot="1" x14ac:dyDescent="0.35">
      <c r="A79" s="2" t="s">
        <v>77</v>
      </c>
      <c r="B79" s="2" t="s">
        <v>84</v>
      </c>
      <c r="C79" s="10">
        <v>36130.519999999997</v>
      </c>
      <c r="D79" s="10">
        <v>36565.120929999997</v>
      </c>
      <c r="E79" s="10">
        <v>434.60093269999999</v>
      </c>
      <c r="F79" s="10">
        <v>1.2</v>
      </c>
      <c r="G79" t="str" cm="1">
        <f t="array" ref="G79">_xlfn.IFS(F79&lt;-10, "Significantly Over", AND(F79&gt;=-10, F79&lt;-5), "Slightly Over", AND(F79&gt;=-5, F79&lt;=5), "Within Budget", F79&gt;5, "Under Budget")</f>
        <v>Within Budget</v>
      </c>
    </row>
    <row r="80" spans="1:7" ht="15" thickBot="1" x14ac:dyDescent="0.35">
      <c r="A80" s="2" t="s">
        <v>86</v>
      </c>
      <c r="B80" s="2" t="s">
        <v>89</v>
      </c>
      <c r="C80" s="10">
        <v>23292.59</v>
      </c>
      <c r="D80" s="10">
        <v>20145.659759999999</v>
      </c>
      <c r="E80" s="10">
        <v>-3146.9302379999999</v>
      </c>
      <c r="F80" s="10">
        <v>-13.51</v>
      </c>
      <c r="G80" t="str" cm="1">
        <f t="array" ref="G80">_xlfn.IFS(F80&lt;-10, "Significantly Over", AND(F80&gt;=-10, F80&lt;-5), "Slightly Over", AND(F80&gt;=-5, F80&lt;=5), "Within Budget", F80&gt;5, "Under Budget")</f>
        <v>Significantly Over</v>
      </c>
    </row>
    <row r="81" spans="1:7" ht="29.4" thickBot="1" x14ac:dyDescent="0.35">
      <c r="A81" s="2" t="s">
        <v>77</v>
      </c>
      <c r="B81" s="2" t="s">
        <v>87</v>
      </c>
      <c r="C81" s="10">
        <v>31699.15</v>
      </c>
      <c r="D81" s="10">
        <v>32344.049780000001</v>
      </c>
      <c r="E81" s="10">
        <v>644.89977650000003</v>
      </c>
      <c r="F81" s="10">
        <v>2.0299999999999998</v>
      </c>
      <c r="G81" t="str" cm="1">
        <f t="array" ref="G81">_xlfn.IFS(F81&lt;-10, "Significantly Over", AND(F81&gt;=-10, F81&lt;-5), "Slightly Over", AND(F81&gt;=-5, F81&lt;=5), "Within Budget", F81&gt;5, "Under Budget")</f>
        <v>Within Budget</v>
      </c>
    </row>
    <row r="82" spans="1:7" ht="29.4" thickBot="1" x14ac:dyDescent="0.35">
      <c r="A82" s="2" t="s">
        <v>82</v>
      </c>
      <c r="B82" s="2" t="s">
        <v>92</v>
      </c>
      <c r="C82" s="10">
        <v>29731.07</v>
      </c>
      <c r="D82" s="10">
        <v>22245.900239999999</v>
      </c>
      <c r="E82" s="10">
        <v>-7485.1697640000002</v>
      </c>
      <c r="F82" s="10">
        <v>-25.18</v>
      </c>
      <c r="G82" t="str" cm="1">
        <f t="array" ref="G82">_xlfn.IFS(F82&lt;-10, "Significantly Over", AND(F82&gt;=-10, F82&lt;-5), "Slightly Over", AND(F82&gt;=-5, F82&lt;=5), "Within Budget", F82&gt;5, "Under Budget")</f>
        <v>Significantly Over</v>
      </c>
    </row>
    <row r="83" spans="1:7" ht="29.4" thickBot="1" x14ac:dyDescent="0.35">
      <c r="A83" s="2" t="s">
        <v>82</v>
      </c>
      <c r="B83" s="2" t="s">
        <v>85</v>
      </c>
      <c r="C83" s="10">
        <v>13261.06</v>
      </c>
      <c r="D83" s="10">
        <v>5915.3530760000003</v>
      </c>
      <c r="E83" s="10">
        <v>-7345.7069240000001</v>
      </c>
      <c r="F83" s="10">
        <v>-55.39</v>
      </c>
      <c r="G83" t="str" cm="1">
        <f t="array" ref="G83">_xlfn.IFS(F83&lt;-10, "Significantly Over", AND(F83&gt;=-10, F83&lt;-5), "Slightly Over", AND(F83&gt;=-5, F83&lt;=5), "Within Budget", F83&gt;5, "Under Budget")</f>
        <v>Significantly Over</v>
      </c>
    </row>
    <row r="84" spans="1:7" ht="15" thickBot="1" x14ac:dyDescent="0.35">
      <c r="A84" s="2" t="s">
        <v>86</v>
      </c>
      <c r="B84" s="2" t="s">
        <v>93</v>
      </c>
      <c r="C84" s="10">
        <v>26130.45</v>
      </c>
      <c r="D84" s="10">
        <v>19001.29724</v>
      </c>
      <c r="E84" s="10">
        <v>-7129.1527589999996</v>
      </c>
      <c r="F84" s="10">
        <v>-27.28</v>
      </c>
      <c r="G84" t="str" cm="1">
        <f t="array" ref="G84">_xlfn.IFS(F84&lt;-10, "Significantly Over", AND(F84&gt;=-10, F84&lt;-5), "Slightly Over", AND(F84&gt;=-5, F84&lt;=5), "Within Budget", F84&gt;5, "Under Budget")</f>
        <v>Significantly Over</v>
      </c>
    </row>
    <row r="85" spans="1:7" ht="15" thickBot="1" x14ac:dyDescent="0.35">
      <c r="A85" s="2" t="s">
        <v>77</v>
      </c>
      <c r="B85" s="2" t="s">
        <v>89</v>
      </c>
      <c r="C85" s="10">
        <v>18822.439999999999</v>
      </c>
      <c r="D85" s="10">
        <v>27618.83584</v>
      </c>
      <c r="E85" s="10">
        <v>8796.3958390000007</v>
      </c>
      <c r="F85" s="10">
        <v>46.73</v>
      </c>
      <c r="G85" t="str" cm="1">
        <f t="array" ref="G85">_xlfn.IFS(F85&lt;-10, "Significantly Over", AND(F85&gt;=-10, F85&lt;-5), "Slightly Over", AND(F85&gt;=-5, F85&lt;=5), "Within Budget", F85&gt;5, "Under Budget")</f>
        <v>Under Budget</v>
      </c>
    </row>
    <row r="86" spans="1:7" ht="29.4" thickBot="1" x14ac:dyDescent="0.35">
      <c r="A86" s="2" t="s">
        <v>82</v>
      </c>
      <c r="B86" s="2" t="s">
        <v>84</v>
      </c>
      <c r="C86" s="10">
        <v>26735.99</v>
      </c>
      <c r="D86" s="10">
        <v>31393.968369999999</v>
      </c>
      <c r="E86" s="10">
        <v>4657.9783669999997</v>
      </c>
      <c r="F86" s="10">
        <v>17.420000000000002</v>
      </c>
      <c r="G86" t="str" cm="1">
        <f t="array" ref="G86">_xlfn.IFS(F86&lt;-10, "Significantly Over", AND(F86&gt;=-10, F86&lt;-5), "Slightly Over", AND(F86&gt;=-5, F86&lt;=5), "Within Budget", F86&gt;5, "Under Budget")</f>
        <v>Under Budget</v>
      </c>
    </row>
    <row r="87" spans="1:7" ht="15" thickBot="1" x14ac:dyDescent="0.35">
      <c r="A87" s="2" t="s">
        <v>81</v>
      </c>
      <c r="B87" s="2" t="s">
        <v>83</v>
      </c>
      <c r="C87" s="10">
        <v>18143.13</v>
      </c>
      <c r="D87" s="10">
        <v>11390.767889999999</v>
      </c>
      <c r="E87" s="10">
        <v>-6752.3621069999999</v>
      </c>
      <c r="F87" s="10">
        <v>-37.22</v>
      </c>
      <c r="G87" t="str" cm="1">
        <f t="array" ref="G87">_xlfn.IFS(F87&lt;-10, "Significantly Over", AND(F87&gt;=-10, F87&lt;-5), "Slightly Over", AND(F87&gt;=-5, F87&lt;=5), "Within Budget", F87&gt;5, "Under Budget")</f>
        <v>Significantly Over</v>
      </c>
    </row>
    <row r="88" spans="1:7" ht="15" thickBot="1" x14ac:dyDescent="0.35">
      <c r="A88" s="2" t="s">
        <v>79</v>
      </c>
      <c r="B88" s="2" t="s">
        <v>80</v>
      </c>
      <c r="C88" s="10">
        <v>43618.1</v>
      </c>
      <c r="D88" s="10">
        <v>37385.081680000003</v>
      </c>
      <c r="E88" s="10">
        <v>-6233.018325</v>
      </c>
      <c r="F88" s="10">
        <v>-14.29</v>
      </c>
      <c r="G88" t="str" cm="1">
        <f t="array" ref="G88">_xlfn.IFS(F88&lt;-10, "Significantly Over", AND(F88&gt;=-10, F88&lt;-5), "Slightly Over", AND(F88&gt;=-5, F88&lt;=5), "Within Budget", F88&gt;5, "Under Budget")</f>
        <v>Significantly Over</v>
      </c>
    </row>
    <row r="89" spans="1:7" ht="15" thickBot="1" x14ac:dyDescent="0.35">
      <c r="A89" s="2" t="s">
        <v>79</v>
      </c>
      <c r="B89" s="2" t="s">
        <v>91</v>
      </c>
      <c r="C89" s="10">
        <v>16967.73</v>
      </c>
      <c r="D89" s="10">
        <v>21584.319500000001</v>
      </c>
      <c r="E89" s="10">
        <v>4616.5894969999999</v>
      </c>
      <c r="F89" s="10">
        <v>27.21</v>
      </c>
      <c r="G89" t="str" cm="1">
        <f t="array" ref="G89">_xlfn.IFS(F89&lt;-10, "Significantly Over", AND(F89&gt;=-10, F89&lt;-5), "Slightly Over", AND(F89&gt;=-5, F89&lt;=5), "Within Budget", F89&gt;5, "Under Budget")</f>
        <v>Under Budget</v>
      </c>
    </row>
    <row r="90" spans="1:7" ht="15" thickBot="1" x14ac:dyDescent="0.35">
      <c r="A90" s="2" t="s">
        <v>79</v>
      </c>
      <c r="B90" s="2" t="s">
        <v>90</v>
      </c>
      <c r="C90" s="10">
        <v>48431.22</v>
      </c>
      <c r="D90" s="10">
        <v>41554.496899999998</v>
      </c>
      <c r="E90" s="10">
        <v>-6876.7231039999997</v>
      </c>
      <c r="F90" s="10">
        <v>-14.2</v>
      </c>
      <c r="G90" t="str" cm="1">
        <f t="array" ref="G90">_xlfn.IFS(F90&lt;-10, "Significantly Over", AND(F90&gt;=-10, F90&lt;-5), "Slightly Over", AND(F90&gt;=-5, F90&lt;=5), "Within Budget", F90&gt;5, "Under Budget")</f>
        <v>Significantly Over</v>
      </c>
    </row>
    <row r="91" spans="1:7" ht="29.4" thickBot="1" x14ac:dyDescent="0.35">
      <c r="A91" s="2" t="s">
        <v>77</v>
      </c>
      <c r="B91" s="2" t="s">
        <v>87</v>
      </c>
      <c r="C91" s="10">
        <v>26636.29</v>
      </c>
      <c r="D91" s="10">
        <v>21327.515869999999</v>
      </c>
      <c r="E91" s="10">
        <v>-5308.7741329999999</v>
      </c>
      <c r="F91" s="10">
        <v>-19.93</v>
      </c>
      <c r="G91" t="str" cm="1">
        <f t="array" ref="G91">_xlfn.IFS(F91&lt;-10, "Significantly Over", AND(F91&gt;=-10, F91&lt;-5), "Slightly Over", AND(F91&gt;=-5, F91&lt;=5), "Within Budget", F91&gt;5, "Under Budget")</f>
        <v>Significantly Over</v>
      </c>
    </row>
    <row r="92" spans="1:7" ht="15" thickBot="1" x14ac:dyDescent="0.35">
      <c r="A92" s="2" t="s">
        <v>86</v>
      </c>
      <c r="B92" s="2" t="s">
        <v>93</v>
      </c>
      <c r="C92" s="10">
        <v>43849.81</v>
      </c>
      <c r="D92" s="10">
        <v>53116.746659999997</v>
      </c>
      <c r="E92" s="10">
        <v>9266.9366559999999</v>
      </c>
      <c r="F92" s="10">
        <v>21.13</v>
      </c>
      <c r="G92" t="str" cm="1">
        <f t="array" ref="G92">_xlfn.IFS(F92&lt;-10, "Significantly Over", AND(F92&gt;=-10, F92&lt;-5), "Slightly Over", AND(F92&gt;=-5, F92&lt;=5), "Within Budget", F92&gt;5, "Under Budget")</f>
        <v>Under Budget</v>
      </c>
    </row>
    <row r="93" spans="1:7" ht="29.4" thickBot="1" x14ac:dyDescent="0.35">
      <c r="A93" s="2" t="s">
        <v>82</v>
      </c>
      <c r="B93" s="2" t="s">
        <v>89</v>
      </c>
      <c r="C93" s="10">
        <v>35150.589999999997</v>
      </c>
      <c r="D93" s="10">
        <v>30256.72049</v>
      </c>
      <c r="E93" s="10">
        <v>-4893.8695049999997</v>
      </c>
      <c r="F93" s="10">
        <v>-13.92</v>
      </c>
      <c r="G93" t="str" cm="1">
        <f t="array" ref="G93">_xlfn.IFS(F93&lt;-10, "Significantly Over", AND(F93&gt;=-10, F93&lt;-5), "Slightly Over", AND(F93&gt;=-5, F93&lt;=5), "Within Budget", F93&gt;5, "Under Budget")</f>
        <v>Significantly Over</v>
      </c>
    </row>
    <row r="94" spans="1:7" ht="29.4" thickBot="1" x14ac:dyDescent="0.35">
      <c r="A94" s="2" t="s">
        <v>81</v>
      </c>
      <c r="B94" s="2" t="s">
        <v>87</v>
      </c>
      <c r="C94" s="10">
        <v>39414.01</v>
      </c>
      <c r="D94" s="10">
        <v>42646.657010000003</v>
      </c>
      <c r="E94" s="10">
        <v>3232.647007</v>
      </c>
      <c r="F94" s="10">
        <v>8.1999999999999993</v>
      </c>
      <c r="G94" t="str" cm="1">
        <f t="array" ref="G94">_xlfn.IFS(F94&lt;-10, "Significantly Over", AND(F94&gt;=-10, F94&lt;-5), "Slightly Over", AND(F94&gt;=-5, F94&lt;=5), "Within Budget", F94&gt;5, "Under Budget")</f>
        <v>Under Budget</v>
      </c>
    </row>
    <row r="95" spans="1:7" ht="15" thickBot="1" x14ac:dyDescent="0.35">
      <c r="A95" s="2" t="s">
        <v>81</v>
      </c>
      <c r="B95" s="2" t="s">
        <v>88</v>
      </c>
      <c r="C95" s="10">
        <v>40708.959999999999</v>
      </c>
      <c r="D95" s="10">
        <v>50281.585749999998</v>
      </c>
      <c r="E95" s="10">
        <v>9572.6257480000004</v>
      </c>
      <c r="F95" s="10">
        <v>23.51</v>
      </c>
      <c r="G95" t="str" cm="1">
        <f t="array" ref="G95">_xlfn.IFS(F95&lt;-10, "Significantly Over", AND(F95&gt;=-10, F95&lt;-5), "Slightly Over", AND(F95&gt;=-5, F95&lt;=5), "Within Budget", F95&gt;5, "Under Budget")</f>
        <v>Under Budget</v>
      </c>
    </row>
    <row r="96" spans="1:7" ht="15" thickBot="1" x14ac:dyDescent="0.35">
      <c r="A96" s="2" t="s">
        <v>77</v>
      </c>
      <c r="B96" s="2" t="s">
        <v>90</v>
      </c>
      <c r="C96" s="10">
        <v>30193.8</v>
      </c>
      <c r="D96" s="10">
        <v>27679.735339999999</v>
      </c>
      <c r="E96" s="10">
        <v>-2514.0646569999999</v>
      </c>
      <c r="F96" s="10">
        <v>-8.33</v>
      </c>
      <c r="G96" t="str" cm="1">
        <f t="array" ref="G96">_xlfn.IFS(F96&lt;-10, "Significantly Over", AND(F96&gt;=-10, F96&lt;-5), "Slightly Over", AND(F96&gt;=-5, F96&lt;=5), "Within Budget", F96&gt;5, "Under Budget")</f>
        <v>Slightly Over</v>
      </c>
    </row>
    <row r="97" spans="1:7" ht="15" thickBot="1" x14ac:dyDescent="0.35">
      <c r="A97" s="2" t="s">
        <v>79</v>
      </c>
      <c r="B97" s="2" t="s">
        <v>80</v>
      </c>
      <c r="C97" s="10">
        <v>31732.02</v>
      </c>
      <c r="D97" s="10">
        <v>22082.339820000001</v>
      </c>
      <c r="E97" s="10">
        <v>-9649.6801830000004</v>
      </c>
      <c r="F97" s="10">
        <v>-30.41</v>
      </c>
      <c r="G97" t="str" cm="1">
        <f t="array" ref="G97">_xlfn.IFS(F97&lt;-10, "Significantly Over", AND(F97&gt;=-10, F97&lt;-5), "Slightly Over", AND(F97&gt;=-5, F97&lt;=5), "Within Budget", F97&gt;5, "Under Budget")</f>
        <v>Significantly Over</v>
      </c>
    </row>
    <row r="98" spans="1:7" ht="29.4" thickBot="1" x14ac:dyDescent="0.35">
      <c r="A98" s="2" t="s">
        <v>77</v>
      </c>
      <c r="B98" s="2" t="s">
        <v>92</v>
      </c>
      <c r="C98" s="10">
        <v>30559.83</v>
      </c>
      <c r="D98" s="10">
        <v>25442.775809999999</v>
      </c>
      <c r="E98" s="10">
        <v>-5117.0541919999996</v>
      </c>
      <c r="F98" s="10">
        <v>-16.739999999999998</v>
      </c>
      <c r="G98" t="str" cm="1">
        <f t="array" ref="G98">_xlfn.IFS(F98&lt;-10, "Significantly Over", AND(F98&gt;=-10, F98&lt;-5), "Slightly Over", AND(F98&gt;=-5, F98&lt;=5), "Within Budget", F98&gt;5, "Under Budget")</f>
        <v>Significantly Over</v>
      </c>
    </row>
    <row r="99" spans="1:7" ht="15" thickBot="1" x14ac:dyDescent="0.35">
      <c r="A99" s="2" t="s">
        <v>86</v>
      </c>
      <c r="B99" s="2" t="s">
        <v>91</v>
      </c>
      <c r="C99" s="10">
        <v>33522.339999999997</v>
      </c>
      <c r="D99" s="10">
        <v>40139.883829999999</v>
      </c>
      <c r="E99" s="10">
        <v>6617.5438270000004</v>
      </c>
      <c r="F99" s="10">
        <v>19.739999999999998</v>
      </c>
      <c r="G99" t="str" cm="1">
        <f t="array" ref="G99">_xlfn.IFS(F99&lt;-10, "Significantly Over", AND(F99&gt;=-10, F99&lt;-5), "Slightly Over", AND(F99&gt;=-5, F99&lt;=5), "Within Budget", F99&gt;5, "Under Budget")</f>
        <v>Under Budget</v>
      </c>
    </row>
    <row r="100" spans="1:7" ht="15" thickBot="1" x14ac:dyDescent="0.35">
      <c r="A100" s="2" t="s">
        <v>86</v>
      </c>
      <c r="B100" s="2" t="s">
        <v>85</v>
      </c>
      <c r="C100" s="10">
        <v>11175.78</v>
      </c>
      <c r="D100" s="10">
        <v>18467.956719999998</v>
      </c>
      <c r="E100" s="10">
        <v>7292.176719</v>
      </c>
      <c r="F100" s="10">
        <v>65.25</v>
      </c>
      <c r="G100" t="str" cm="1">
        <f t="array" ref="G100">_xlfn.IFS(F100&lt;-10, "Significantly Over", AND(F100&gt;=-10, F100&lt;-5), "Slightly Over", AND(F100&gt;=-5, F100&lt;=5), "Within Budget", F100&gt;5, "Under Budget")</f>
        <v>Under Budget</v>
      </c>
    </row>
    <row r="101" spans="1:7" ht="29.4" thickBot="1" x14ac:dyDescent="0.35">
      <c r="A101" s="2" t="s">
        <v>82</v>
      </c>
      <c r="B101" s="2" t="s">
        <v>87</v>
      </c>
      <c r="C101" s="10">
        <v>25820.61</v>
      </c>
      <c r="D101" s="10">
        <v>31190.997289999999</v>
      </c>
      <c r="E101" s="10">
        <v>5370.3872899999997</v>
      </c>
      <c r="F101" s="10">
        <v>20.8</v>
      </c>
      <c r="G101" t="str" cm="1">
        <f t="array" ref="G101">_xlfn.IFS(F101&lt;-10, "Significantly Over", AND(F101&gt;=-10, F101&lt;-5), "Slightly Over", AND(F101&gt;=-5, F101&lt;=5), "Within Budget", F101&gt;5, "Under Budget")</f>
        <v>Under Budget</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2498F0AA-10F4-4324-943A-3F2B7C3F23C8}">
          <x14:colorSeries rgb="FF000000"/>
          <x14:colorNegative rgb="FF0070C0"/>
          <x14:colorAxis rgb="FF000000"/>
          <x14:colorMarkers rgb="FF0070C0"/>
          <x14:colorFirst rgb="FF0070C0"/>
          <x14:colorLast rgb="FF0070C0"/>
          <x14:colorHigh rgb="FF0070C0"/>
          <x14:colorLow rgb="FF0070C0"/>
          <x14:sparklines>
            <x14:sparkline>
              <xm:f>Dataset!B:B</xm:f>
              <xm:sqref>J1</xm:sqref>
            </x14:sparkline>
          </x14:sparklines>
        </x14:sparklineGroup>
        <x14:sparklineGroup displayEmptyCellsAs="gap" xr2:uid="{A951AF04-20F9-44E6-9DFD-42A21D057285}">
          <x14:colorSeries rgb="FF376092"/>
          <x14:colorNegative rgb="FFD00000"/>
          <x14:colorAxis rgb="FF000000"/>
          <x14:colorMarkers rgb="FFD00000"/>
          <x14:colorFirst rgb="FFD00000"/>
          <x14:colorLast rgb="FFD00000"/>
          <x14:colorHigh rgb="FFD00000"/>
          <x14:colorLow rgb="FFD00000"/>
          <x14:sparklines>
            <x14:sparkline>
              <xm:f>Dataset!B:B</xm:f>
              <xm:sqref>H1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0270-A05F-415E-9F11-1D0D796C43E0}">
  <dimension ref="A1:C9"/>
  <sheetViews>
    <sheetView workbookViewId="0">
      <selection activeCell="B9" sqref="B9"/>
    </sheetView>
  </sheetViews>
  <sheetFormatPr defaultRowHeight="14.4" x14ac:dyDescent="0.3"/>
  <cols>
    <col min="1" max="1" width="22.6640625" customWidth="1"/>
    <col min="2" max="2" width="13.109375" bestFit="1" customWidth="1"/>
  </cols>
  <sheetData>
    <row r="1" spans="1:3" x14ac:dyDescent="0.3">
      <c r="A1" t="s">
        <v>94</v>
      </c>
      <c r="B1" s="13">
        <f>SUM(Dataset!C2:C101)</f>
        <v>3080839.86</v>
      </c>
    </row>
    <row r="2" spans="1:3" x14ac:dyDescent="0.3">
      <c r="A2" t="s">
        <v>95</v>
      </c>
      <c r="B2" s="13">
        <f>SUM(Dataset!D2:D101)</f>
        <v>3020568.5373970005</v>
      </c>
    </row>
    <row r="3" spans="1:3" x14ac:dyDescent="0.3">
      <c r="A3" t="s">
        <v>96</v>
      </c>
      <c r="B3" s="13">
        <f>B2/B1*100</f>
        <v>98.043672331511601</v>
      </c>
    </row>
    <row r="4" spans="1:3" x14ac:dyDescent="0.3">
      <c r="A4" t="s">
        <v>100</v>
      </c>
      <c r="B4">
        <f>B2-B1</f>
        <v>-60271.322602999397</v>
      </c>
    </row>
    <row r="5" spans="1:3" x14ac:dyDescent="0.3">
      <c r="A5" t="s">
        <v>99</v>
      </c>
      <c r="B5" s="12">
        <f>(SUM(Dataset!D:D)-SUM(Dataset!C:C))/SUM(Dataset!C:C)</f>
        <v>-1.9563276684884036E-2</v>
      </c>
    </row>
    <row r="6" spans="1:3" x14ac:dyDescent="0.3">
      <c r="A6" t="s">
        <v>101</v>
      </c>
      <c r="B6">
        <f>Charts!B13</f>
        <v>5</v>
      </c>
    </row>
    <row r="7" spans="1:3" x14ac:dyDescent="0.3">
      <c r="A7" t="s">
        <v>105</v>
      </c>
      <c r="B7">
        <f>Charts!B12</f>
        <v>0</v>
      </c>
    </row>
    <row r="8" spans="1:3" x14ac:dyDescent="0.3">
      <c r="A8" t="s">
        <v>106</v>
      </c>
      <c r="B8">
        <f>MAX(Charts!B4:B8)</f>
        <v>0.34999999999999959</v>
      </c>
      <c r="C8" t="str">
        <f>INDEX(Charts!A4:A8,MATCH(MAX(Charts!B4:B8),Charts!B4:B8,0))</f>
        <v>IT</v>
      </c>
    </row>
    <row r="9" spans="1:3" x14ac:dyDescent="0.3">
      <c r="A9" t="s">
        <v>107</v>
      </c>
      <c r="B9">
        <f>MIN(Charts!B4:B80)</f>
        <v>-4.306111111111111</v>
      </c>
      <c r="C9" t="str">
        <f>INDEX(Charts!A4:A8,MATCH(MIN(Charts!B4:B8),Charts!B4:B8,0))</f>
        <v>HR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Question</vt:lpstr>
      <vt:lpstr>Charts</vt:lpstr>
      <vt:lpstr>Dashboard</vt:lpstr>
      <vt:lpstr>Department Detail</vt:lpstr>
      <vt:lpstr>Dataset</vt:lpstr>
      <vt:lpstr>KPIs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Ramseena M</dc:creator>
  <cp:lastModifiedBy>Ramseena M</cp:lastModifiedBy>
  <dcterms:created xsi:type="dcterms:W3CDTF">2026-06-10T16:05:41Z</dcterms:created>
  <dcterms:modified xsi:type="dcterms:W3CDTF">2026-07-30T04:13:43Z</dcterms:modified>
</cp:coreProperties>
</file>